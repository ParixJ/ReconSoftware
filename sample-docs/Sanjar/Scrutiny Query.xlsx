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AuditPublic\Books 2526\Sanjar Traders\Working\"/>
    </mc:Choice>
  </mc:AlternateContent>
  <xr:revisionPtr revIDLastSave="0" documentId="13_ncr:1_{F5DEC685-61C2-46F2-A95A-2A1A1F81BCD9}" xr6:coauthVersionLast="47" xr6:coauthVersionMax="47" xr10:uidLastSave="{00000000-0000-0000-0000-000000000000}"/>
  <bookViews>
    <workbookView xWindow="-120" yWindow="-120" windowWidth="20700" windowHeight="11160" xr2:uid="{00000000-000D-0000-FFFF-FFFF00000000}"/>
  </bookViews>
  <sheets>
    <sheet name="Scrutiny Query" sheetId="1" r:id="rId1"/>
    <sheet name="Op.Bal. diff.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1" l="1"/>
  <c r="I16" i="4"/>
  <c r="E16" i="4"/>
  <c r="I15" i="4"/>
  <c r="E15" i="4"/>
  <c r="I14" i="4"/>
  <c r="E14" i="4"/>
  <c r="I13" i="4"/>
  <c r="E13" i="4"/>
  <c r="I12" i="4"/>
  <c r="E12" i="4"/>
  <c r="I11" i="4"/>
  <c r="E11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I3" i="4"/>
  <c r="I2" i="4"/>
  <c r="I17" i="4" s="1"/>
  <c r="E2" i="4"/>
  <c r="E17" i="4" s="1"/>
  <c r="K12" i="4" s="1"/>
  <c r="D65" i="1"/>
  <c r="E60" i="1"/>
  <c r="G60" i="1" s="1"/>
  <c r="E58" i="1"/>
  <c r="G58" i="1" s="1"/>
  <c r="E57" i="1"/>
  <c r="G57" i="1" s="1"/>
  <c r="D53" i="1"/>
  <c r="E9" i="1"/>
  <c r="G34" i="1" l="1"/>
  <c r="F34" i="1"/>
  <c r="E34" i="1"/>
  <c r="D34" i="1"/>
  <c r="H23" i="1"/>
  <c r="I23" i="1" s="1"/>
  <c r="H16" i="1"/>
  <c r="I16" i="1" s="1"/>
  <c r="H15" i="1"/>
  <c r="I15" i="1" s="1"/>
  <c r="H33" i="1"/>
  <c r="I33" i="1" s="1"/>
  <c r="H32" i="1"/>
  <c r="I32" i="1" s="1"/>
  <c r="H31" i="1"/>
  <c r="I31" i="1" s="1"/>
  <c r="H28" i="1"/>
  <c r="H27" i="1"/>
  <c r="I27" i="1" s="1"/>
  <c r="H26" i="1"/>
  <c r="I26" i="1" s="1"/>
  <c r="H22" i="1"/>
  <c r="I22" i="1" s="1"/>
  <c r="H21" i="1"/>
  <c r="I21" i="1" s="1"/>
  <c r="H20" i="1"/>
  <c r="I20" i="1" s="1"/>
  <c r="H19" i="1"/>
  <c r="I28" i="1" l="1"/>
  <c r="H34" i="1"/>
  <c r="I19" i="1"/>
  <c r="I34" i="1" s="1"/>
</calcChain>
</file>

<file path=xl/sharedStrings.xml><?xml version="1.0" encoding="utf-8"?>
<sst xmlns="http://schemas.openxmlformats.org/spreadsheetml/2006/main" count="112" uniqueCount="97">
  <si>
    <t>Party Name</t>
  </si>
  <si>
    <t>Query</t>
  </si>
  <si>
    <t>Fixed Assets</t>
  </si>
  <si>
    <t>Description of Assets</t>
  </si>
  <si>
    <t xml:space="preserve"> Rate (%)</t>
  </si>
  <si>
    <t>W.D.V. As On 01/04/25</t>
  </si>
  <si>
    <t>Addition</t>
  </si>
  <si>
    <t>Deduction</t>
  </si>
  <si>
    <t>Depreciation</t>
  </si>
  <si>
    <t>W.D.V. As On 31/03/26</t>
  </si>
  <si>
    <r>
      <t>≥</t>
    </r>
    <r>
      <rPr>
        <b/>
        <sz val="10"/>
        <rFont val="Palatino Linotype"/>
        <family val="1"/>
      </rPr>
      <t xml:space="preserve"> 180 Days</t>
    </r>
  </si>
  <si>
    <t>&lt; 180 Days</t>
  </si>
  <si>
    <t>Block A</t>
  </si>
  <si>
    <t>Block C</t>
  </si>
  <si>
    <t>Air Conditioner</t>
  </si>
  <si>
    <t>Block D</t>
  </si>
  <si>
    <t>TOTAL</t>
  </si>
  <si>
    <t>Sanjar Traders F.Y. 2025-26</t>
  </si>
  <si>
    <t>Block B</t>
  </si>
  <si>
    <t>Shop</t>
  </si>
  <si>
    <t>Shop - Mochi Bazar</t>
  </si>
  <si>
    <t>CCTV Camera</t>
  </si>
  <si>
    <t>Mobile Phone</t>
  </si>
  <si>
    <t>R.O. System</t>
  </si>
  <si>
    <t>Note Machine</t>
  </si>
  <si>
    <t>Tata ACE Gold</t>
  </si>
  <si>
    <t>Yamaha R15 Bike</t>
  </si>
  <si>
    <t>Furniture</t>
  </si>
  <si>
    <t>Laptop - Dell</t>
  </si>
  <si>
    <t>Laptop</t>
  </si>
  <si>
    <t>Printer Canon</t>
  </si>
  <si>
    <t>New Ganga  Motor Transport Co</t>
  </si>
  <si>
    <t>Transportation</t>
  </si>
  <si>
    <t>Deducted</t>
  </si>
  <si>
    <t>Differences</t>
  </si>
  <si>
    <t>TDS deducted</t>
  </si>
  <si>
    <t>OM India</t>
  </si>
  <si>
    <t>Rent</t>
  </si>
  <si>
    <t>Godown Rent Exp</t>
  </si>
  <si>
    <t>TATA Ace Gold Irish  - Sell RS. 198999/- And Loss 33711.02 Transfer to P&amp;L</t>
  </si>
  <si>
    <t xml:space="preserve">Professional Fees </t>
  </si>
  <si>
    <t xml:space="preserve">Depreciation Roundoff </t>
  </si>
  <si>
    <t>Current Assets</t>
  </si>
  <si>
    <t>Navdurga Transport Co - Why Op=Cl?</t>
  </si>
  <si>
    <t xml:space="preserve">M F Investment </t>
  </si>
  <si>
    <t>HDFC Felxi Cap Fund (Sip 3000) - Provide Certificate</t>
  </si>
  <si>
    <t>HSBC Value Fund (Sip 4000) - Provide Certificate</t>
  </si>
  <si>
    <t>ICICI Life Time Classic - Provide Certificate</t>
  </si>
  <si>
    <t>ICICI Prudential Infrastructure Fund Sip 3000) - Provide Certificate</t>
  </si>
  <si>
    <t xml:space="preserve">Investment </t>
  </si>
  <si>
    <t xml:space="preserve">HDF Finance IPO - Provide Holding Satement </t>
  </si>
  <si>
    <t>MSME</t>
  </si>
  <si>
    <t>Payment Rules Not Comply</t>
  </si>
  <si>
    <t>Kavon International (Surendranagar)</t>
  </si>
  <si>
    <t>Mismatch</t>
  </si>
  <si>
    <t>As Per Books</t>
  </si>
  <si>
    <t xml:space="preserve">As Per ARM Ledger </t>
  </si>
  <si>
    <t>Difference</t>
  </si>
  <si>
    <t>Saving Bank Interest</t>
  </si>
  <si>
    <t>Mismatch with TIS</t>
  </si>
  <si>
    <t>As per TIS</t>
  </si>
  <si>
    <t>As per Books</t>
  </si>
  <si>
    <t>Diff.</t>
  </si>
  <si>
    <t>TDS Mismatch</t>
  </si>
  <si>
    <t>In Freight Exp. - TDS applicable to some Party due to more than &gt; Rs.100000</t>
  </si>
  <si>
    <t>GST Turnover</t>
  </si>
  <si>
    <t xml:space="preserve">Mismatch </t>
  </si>
  <si>
    <t>As per books</t>
  </si>
  <si>
    <t>As per GSTR 1</t>
  </si>
  <si>
    <t>Liabilities</t>
  </si>
  <si>
    <t xml:space="preserve">Account </t>
  </si>
  <si>
    <t>Report</t>
  </si>
  <si>
    <t>Assets</t>
  </si>
  <si>
    <t>Mehfuz Hanifbhai Jumani</t>
  </si>
  <si>
    <t>Aquaguard</t>
  </si>
  <si>
    <t>CCTV CAMERA</t>
  </si>
  <si>
    <t>Furniture &amp; Fixture</t>
  </si>
  <si>
    <t>LAPTOP DELL</t>
  </si>
  <si>
    <t>LAPTOP LENOVO A/C</t>
  </si>
  <si>
    <t>OK</t>
  </si>
  <si>
    <t>Mochi Bazar Dukan</t>
  </si>
  <si>
    <t>Note Counting Machine</t>
  </si>
  <si>
    <t>PRINTER CANON A/C</t>
  </si>
  <si>
    <t>Difference in Total</t>
  </si>
  <si>
    <t>SHOP AT GHEE KANTA ROAD</t>
  </si>
  <si>
    <t>Tata Ace Gold Irish</t>
  </si>
  <si>
    <t>Yamaha R15</t>
  </si>
  <si>
    <t>Total</t>
  </si>
  <si>
    <t>B2CS -December</t>
  </si>
  <si>
    <t>ok</t>
  </si>
  <si>
    <t xml:space="preserve">Personal </t>
  </si>
  <si>
    <t>Declaration</t>
  </si>
  <si>
    <t>HSN -18069010</t>
  </si>
  <si>
    <t>New 1806</t>
  </si>
  <si>
    <t>GSTR 1 Filed</t>
  </si>
  <si>
    <t>GSTR 1  As Per Books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</si>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</sst>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0.0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Palatino Linotype"/>
      <family val="1"/>
    </font>
    <font>
      <b/>
      <sz val="10"/>
      <name val="Arial"/>
      <family val="2"/>
    </font>
    <font>
      <b/>
      <u/>
      <sz val="10"/>
      <color theme="1"/>
      <name val="Palatino Linotype"/>
      <family val="1"/>
    </font>
    <font>
      <sz val="10"/>
      <name val="Palatino Linotype"/>
      <family val="1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60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9" fontId="6" fillId="0" borderId="6" xfId="0" applyNumberFormat="1" applyFont="1" applyBorder="1" applyAlignment="1">
      <alignment horizontal="center"/>
    </xf>
    <xf numFmtId="2" fontId="6" fillId="0" borderId="6" xfId="0" applyNumberFormat="1" applyFont="1" applyBorder="1"/>
    <xf numFmtId="2" fontId="6" fillId="0" borderId="7" xfId="0" applyNumberFormat="1" applyFont="1" applyBorder="1"/>
    <xf numFmtId="0" fontId="7" fillId="0" borderId="6" xfId="0" applyFont="1" applyBorder="1" applyAlignment="1">
      <alignment horizontal="left" indent="1"/>
    </xf>
    <xf numFmtId="0" fontId="6" fillId="0" borderId="6" xfId="0" applyFont="1" applyBorder="1"/>
    <xf numFmtId="0" fontId="3" fillId="0" borderId="5" xfId="0" applyFont="1" applyBorder="1"/>
    <xf numFmtId="2" fontId="3" fillId="0" borderId="5" xfId="0" applyNumberFormat="1" applyFont="1" applyBorder="1"/>
    <xf numFmtId="0" fontId="8" fillId="0" borderId="0" xfId="0" applyFont="1" applyAlignment="1">
      <alignment horizontal="left" indent="1"/>
    </xf>
    <xf numFmtId="14" fontId="0" fillId="0" borderId="0" xfId="0" applyNumberFormat="1"/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9" fontId="0" fillId="0" borderId="0" xfId="0" applyNumberFormat="1"/>
    <xf numFmtId="2" fontId="3" fillId="0" borderId="6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indent="1"/>
    </xf>
    <xf numFmtId="9" fontId="6" fillId="2" borderId="6" xfId="0" applyNumberFormat="1" applyFont="1" applyFill="1" applyBorder="1" applyAlignment="1">
      <alignment horizontal="center"/>
    </xf>
    <xf numFmtId="2" fontId="6" fillId="2" borderId="7" xfId="0" applyNumberFormat="1" applyFont="1" applyFill="1" applyBorder="1"/>
    <xf numFmtId="2" fontId="6" fillId="2" borderId="6" xfId="0" applyNumberFormat="1" applyFont="1" applyFill="1" applyBorder="1"/>
    <xf numFmtId="0" fontId="1" fillId="2" borderId="0" xfId="0" applyFont="1" applyFill="1"/>
    <xf numFmtId="0" fontId="1" fillId="0" borderId="0" xfId="0" applyFont="1" applyAlignment="1">
      <alignment horizontal="right"/>
    </xf>
    <xf numFmtId="164" fontId="0" fillId="0" borderId="0" xfId="0" applyNumberFormat="1"/>
    <xf numFmtId="165" fontId="1" fillId="2" borderId="0" xfId="0" applyNumberFormat="1" applyFont="1" applyFill="1"/>
    <xf numFmtId="0" fontId="4" fillId="3" borderId="8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4" fillId="3" borderId="9" xfId="1" applyFont="1" applyFill="1" applyBorder="1"/>
    <xf numFmtId="0" fontId="4" fillId="3" borderId="10" xfId="1" applyFont="1" applyFill="1" applyBorder="1"/>
    <xf numFmtId="0" fontId="9" fillId="0" borderId="0" xfId="1"/>
    <xf numFmtId="0" fontId="4" fillId="0" borderId="11" xfId="1" applyFont="1" applyBorder="1"/>
    <xf numFmtId="0" fontId="9" fillId="0" borderId="4" xfId="1" applyBorder="1"/>
    <xf numFmtId="0" fontId="9" fillId="0" borderId="12" xfId="1" applyBorder="1"/>
    <xf numFmtId="0" fontId="9" fillId="0" borderId="13" xfId="1" applyBorder="1"/>
    <xf numFmtId="4" fontId="9" fillId="0" borderId="5" xfId="1" applyNumberFormat="1" applyBorder="1"/>
    <xf numFmtId="0" fontId="9" fillId="0" borderId="5" xfId="1" applyBorder="1"/>
    <xf numFmtId="0" fontId="9" fillId="0" borderId="14" xfId="1" applyBorder="1"/>
    <xf numFmtId="4" fontId="9" fillId="0" borderId="13" xfId="1" applyNumberFormat="1" applyBorder="1"/>
    <xf numFmtId="0" fontId="9" fillId="4" borderId="0" xfId="1" applyFill="1"/>
    <xf numFmtId="2" fontId="4" fillId="4" borderId="15" xfId="1" applyNumberFormat="1" applyFont="1" applyFill="1" applyBorder="1"/>
    <xf numFmtId="0" fontId="9" fillId="0" borderId="16" xfId="1" applyBorder="1"/>
    <xf numFmtId="0" fontId="9" fillId="0" borderId="17" xfId="1" applyBorder="1"/>
    <xf numFmtId="0" fontId="4" fillId="0" borderId="18" xfId="1" applyFont="1" applyBorder="1"/>
    <xf numFmtId="2" fontId="4" fillId="5" borderId="19" xfId="1" applyNumberFormat="1" applyFont="1" applyFill="1" applyBorder="1"/>
    <xf numFmtId="0" fontId="9" fillId="0" borderId="20" xfId="1" applyBorder="1"/>
    <xf numFmtId="2" fontId="4" fillId="5" borderId="2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justify"/>
    </xf>
    <xf numFmtId="0" fontId="3" fillId="0" borderId="4" xfId="0" applyFont="1" applyBorder="1" applyAlignment="1">
      <alignment horizontal="center" vertical="justify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4B794A26-2FD2-461E-9A2F-8751C13F1D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5"/>
  <sheetViews>
    <sheetView tabSelected="1" topLeftCell="A43" workbookViewId="0">
      <selection activeCell="J53" sqref="J53"/>
    </sheetView>
  </sheetViews>
  <sheetFormatPr defaultRowHeight="15" x14ac:dyDescent="0.25"/>
  <cols>
    <col min="2" max="2" width="33.5703125" customWidth="1"/>
    <col min="3" max="3" width="15" customWidth="1"/>
    <col min="4" max="4" width="17.140625" customWidth="1"/>
    <col min="5" max="5" width="12.28515625" customWidth="1"/>
    <col min="6" max="6" width="9.42578125" bestFit="1" customWidth="1"/>
    <col min="7" max="7" width="10.42578125" customWidth="1"/>
    <col min="8" max="8" width="11.85546875" customWidth="1"/>
    <col min="9" max="9" width="10.85546875" customWidth="1"/>
    <col min="11" max="11" width="10.7109375" bestFit="1" customWidth="1"/>
    <col min="14" max="14" width="28.7109375" customWidth="1"/>
  </cols>
  <sheetData>
    <row r="2" spans="1:11" x14ac:dyDescent="0.25">
      <c r="B2" s="52" t="s">
        <v>17</v>
      </c>
      <c r="C2" s="52"/>
    </row>
    <row r="4" spans="1:11" x14ac:dyDescent="0.25">
      <c r="B4" s="1" t="s">
        <v>0</v>
      </c>
      <c r="C4" s="1" t="s">
        <v>1</v>
      </c>
      <c r="K4" s="1"/>
    </row>
    <row r="6" spans="1:11" x14ac:dyDescent="0.25">
      <c r="A6">
        <v>1</v>
      </c>
      <c r="B6" s="1" t="s">
        <v>40</v>
      </c>
      <c r="C6" s="1" t="s">
        <v>54</v>
      </c>
    </row>
    <row r="7" spans="1:11" x14ac:dyDescent="0.25">
      <c r="B7" s="1"/>
      <c r="C7" s="1" t="s">
        <v>55</v>
      </c>
      <c r="E7">
        <v>0</v>
      </c>
    </row>
    <row r="8" spans="1:11" x14ac:dyDescent="0.25">
      <c r="B8" s="1"/>
      <c r="C8" s="1" t="s">
        <v>56</v>
      </c>
      <c r="E8">
        <v>7925</v>
      </c>
    </row>
    <row r="9" spans="1:11" x14ac:dyDescent="0.25">
      <c r="B9" s="1"/>
      <c r="C9" s="1" t="s">
        <v>57</v>
      </c>
      <c r="E9" s="23">
        <f>E8-E7</f>
        <v>7925</v>
      </c>
    </row>
    <row r="11" spans="1:11" x14ac:dyDescent="0.25">
      <c r="A11">
        <v>2</v>
      </c>
      <c r="B11" s="1" t="s">
        <v>2</v>
      </c>
      <c r="C11" t="s">
        <v>41</v>
      </c>
    </row>
    <row r="12" spans="1:11" x14ac:dyDescent="0.25">
      <c r="B12" s="53" t="s">
        <v>3</v>
      </c>
      <c r="C12" s="55" t="s">
        <v>4</v>
      </c>
      <c r="D12" s="55" t="s">
        <v>5</v>
      </c>
      <c r="E12" s="57" t="s">
        <v>6</v>
      </c>
      <c r="F12" s="58"/>
      <c r="G12" s="48" t="s">
        <v>7</v>
      </c>
      <c r="H12" s="48" t="s">
        <v>8</v>
      </c>
      <c r="I12" s="50" t="s">
        <v>9</v>
      </c>
    </row>
    <row r="13" spans="1:11" ht="30" x14ac:dyDescent="0.25">
      <c r="B13" s="54"/>
      <c r="C13" s="56"/>
      <c r="D13" s="56"/>
      <c r="E13" s="2" t="s">
        <v>10</v>
      </c>
      <c r="F13" s="3" t="s">
        <v>11</v>
      </c>
      <c r="G13" s="49"/>
      <c r="H13" s="49"/>
      <c r="I13" s="51"/>
    </row>
    <row r="14" spans="1:11" ht="15.75" x14ac:dyDescent="0.3">
      <c r="B14" s="4" t="s">
        <v>12</v>
      </c>
      <c r="C14" s="14"/>
      <c r="D14" s="14"/>
      <c r="E14" s="15"/>
      <c r="F14" s="14"/>
      <c r="G14" s="16"/>
      <c r="H14" s="16"/>
      <c r="I14" s="18"/>
    </row>
    <row r="15" spans="1:11" ht="15.75" x14ac:dyDescent="0.3">
      <c r="B15" s="8" t="s">
        <v>19</v>
      </c>
      <c r="C15" s="5">
        <v>0</v>
      </c>
      <c r="D15" s="7">
        <v>1906760</v>
      </c>
      <c r="E15" s="7">
        <v>0</v>
      </c>
      <c r="F15" s="7">
        <v>0</v>
      </c>
      <c r="G15" s="7">
        <v>0</v>
      </c>
      <c r="H15" s="6">
        <f t="shared" ref="H15:H16" si="0">ROUND((D15+E15+F15/2-G15)*C15,0)</f>
        <v>0</v>
      </c>
      <c r="I15" s="6">
        <f t="shared" ref="I15:I16" si="1">D15+E15+F15-G15-H15</f>
        <v>1906760</v>
      </c>
    </row>
    <row r="16" spans="1:11" ht="15.75" x14ac:dyDescent="0.3">
      <c r="B16" s="8" t="s">
        <v>20</v>
      </c>
      <c r="C16" s="5">
        <v>0</v>
      </c>
      <c r="D16" s="7">
        <v>1247020</v>
      </c>
      <c r="E16" s="7">
        <v>0</v>
      </c>
      <c r="F16" s="7">
        <v>0</v>
      </c>
      <c r="G16" s="7">
        <v>0</v>
      </c>
      <c r="H16" s="6">
        <f t="shared" si="0"/>
        <v>0</v>
      </c>
      <c r="I16" s="6">
        <f t="shared" si="1"/>
        <v>1247020</v>
      </c>
    </row>
    <row r="17" spans="2:9" ht="15.75" x14ac:dyDescent="0.3">
      <c r="B17" s="8"/>
      <c r="C17" s="14"/>
      <c r="D17" s="14"/>
      <c r="E17" s="15"/>
      <c r="F17" s="14"/>
      <c r="G17" s="16"/>
      <c r="H17" s="16"/>
      <c r="I17" s="18"/>
    </row>
    <row r="18" spans="2:9" ht="15.75" x14ac:dyDescent="0.3">
      <c r="B18" s="4" t="s">
        <v>18</v>
      </c>
      <c r="C18" s="5"/>
      <c r="D18" s="6"/>
      <c r="E18" s="7"/>
      <c r="F18" s="6"/>
      <c r="G18" s="6"/>
      <c r="H18" s="6"/>
      <c r="I18" s="6"/>
    </row>
    <row r="19" spans="2:9" ht="15.75" x14ac:dyDescent="0.3">
      <c r="B19" s="8" t="s">
        <v>14</v>
      </c>
      <c r="C19" s="5">
        <v>0.1</v>
      </c>
      <c r="D19" s="7">
        <v>43951.3</v>
      </c>
      <c r="E19" s="7">
        <v>0</v>
      </c>
      <c r="F19" s="7">
        <v>0</v>
      </c>
      <c r="G19" s="7">
        <v>0</v>
      </c>
      <c r="H19" s="6">
        <f t="shared" ref="H19:H23" si="2">ROUND((D19+E19+F19/2-G19)*C19,0)</f>
        <v>4395</v>
      </c>
      <c r="I19" s="6">
        <f t="shared" ref="I19:I23" si="3">D19+E19+F19-G19-H19</f>
        <v>39556.300000000003</v>
      </c>
    </row>
    <row r="20" spans="2:9" ht="15.75" x14ac:dyDescent="0.3">
      <c r="B20" s="8" t="s">
        <v>21</v>
      </c>
      <c r="C20" s="5">
        <v>0.1</v>
      </c>
      <c r="D20" s="7">
        <v>12899.51</v>
      </c>
      <c r="E20" s="7">
        <v>0</v>
      </c>
      <c r="F20" s="6">
        <v>0</v>
      </c>
      <c r="G20" s="6">
        <v>0</v>
      </c>
      <c r="H20" s="6">
        <f t="shared" si="2"/>
        <v>1290</v>
      </c>
      <c r="I20" s="6">
        <f t="shared" si="3"/>
        <v>11609.51</v>
      </c>
    </row>
    <row r="21" spans="2:9" ht="15.75" x14ac:dyDescent="0.3">
      <c r="B21" s="8" t="s">
        <v>22</v>
      </c>
      <c r="C21" s="5">
        <v>0.1</v>
      </c>
      <c r="D21" s="7">
        <v>168944.42</v>
      </c>
      <c r="E21" s="7">
        <v>12542.37</v>
      </c>
      <c r="F21" s="6">
        <v>34932.199999999997</v>
      </c>
      <c r="G21" s="6">
        <v>0</v>
      </c>
      <c r="H21" s="6">
        <f t="shared" si="2"/>
        <v>19895</v>
      </c>
      <c r="I21" s="6">
        <f t="shared" si="3"/>
        <v>196523.99</v>
      </c>
    </row>
    <row r="22" spans="2:9" ht="15.75" x14ac:dyDescent="0.3">
      <c r="B22" s="8" t="s">
        <v>23</v>
      </c>
      <c r="C22" s="5">
        <v>0.1</v>
      </c>
      <c r="D22" s="7">
        <v>5343.97</v>
      </c>
      <c r="E22" s="7">
        <v>0</v>
      </c>
      <c r="F22" s="6">
        <v>0</v>
      </c>
      <c r="G22" s="6">
        <v>0</v>
      </c>
      <c r="H22" s="6">
        <f t="shared" si="2"/>
        <v>534</v>
      </c>
      <c r="I22" s="6">
        <f t="shared" si="3"/>
        <v>4809.97</v>
      </c>
    </row>
    <row r="23" spans="2:9" ht="15.75" x14ac:dyDescent="0.3">
      <c r="B23" s="8" t="s">
        <v>27</v>
      </c>
      <c r="C23" s="5">
        <v>0.1</v>
      </c>
      <c r="D23" s="7">
        <v>8955.4</v>
      </c>
      <c r="E23" s="7">
        <v>0</v>
      </c>
      <c r="F23" s="6">
        <v>0</v>
      </c>
      <c r="G23" s="6">
        <v>0</v>
      </c>
      <c r="H23" s="6">
        <f t="shared" si="2"/>
        <v>896</v>
      </c>
      <c r="I23" s="6">
        <f t="shared" si="3"/>
        <v>8059.4</v>
      </c>
    </row>
    <row r="24" spans="2:9" ht="15.75" x14ac:dyDescent="0.3">
      <c r="B24" s="8"/>
      <c r="C24" s="5"/>
      <c r="D24" s="7"/>
      <c r="E24" s="7"/>
      <c r="F24" s="7"/>
      <c r="G24" s="6"/>
      <c r="H24" s="6"/>
      <c r="I24" s="6"/>
    </row>
    <row r="25" spans="2:9" ht="15.75" x14ac:dyDescent="0.3">
      <c r="B25" s="4" t="s">
        <v>13</v>
      </c>
      <c r="C25" s="5"/>
      <c r="D25" s="7"/>
      <c r="E25" s="7"/>
      <c r="F25" s="7"/>
      <c r="G25" s="6"/>
      <c r="H25" s="6"/>
      <c r="I25" s="6"/>
    </row>
    <row r="26" spans="2:9" ht="15.75" x14ac:dyDescent="0.3">
      <c r="B26" s="8" t="s">
        <v>24</v>
      </c>
      <c r="C26" s="5">
        <v>0.15</v>
      </c>
      <c r="D26" s="7">
        <v>1931.05</v>
      </c>
      <c r="E26" s="7">
        <v>0</v>
      </c>
      <c r="F26" s="6">
        <v>0</v>
      </c>
      <c r="G26" s="6">
        <v>0</v>
      </c>
      <c r="H26" s="6">
        <f t="shared" ref="H26:H28" si="4">ROUND((D26+E26+F26/2-G26)*C26,0)</f>
        <v>290</v>
      </c>
      <c r="I26" s="6">
        <f t="shared" ref="I26:I28" si="5">D26+E26+F26-G26-H26</f>
        <v>1641.05</v>
      </c>
    </row>
    <row r="27" spans="2:9" ht="15.75" x14ac:dyDescent="0.3">
      <c r="B27" s="19" t="s">
        <v>25</v>
      </c>
      <c r="C27" s="20">
        <v>0.15</v>
      </c>
      <c r="D27" s="21">
        <v>232710.5</v>
      </c>
      <c r="E27" s="21">
        <v>0</v>
      </c>
      <c r="F27" s="22">
        <v>0</v>
      </c>
      <c r="G27" s="22">
        <v>232710.5</v>
      </c>
      <c r="H27" s="22">
        <f t="shared" si="4"/>
        <v>0</v>
      </c>
      <c r="I27" s="22">
        <f t="shared" si="5"/>
        <v>0</v>
      </c>
    </row>
    <row r="28" spans="2:9" ht="15.75" x14ac:dyDescent="0.3">
      <c r="B28" s="8" t="s">
        <v>26</v>
      </c>
      <c r="C28" s="5">
        <v>0.15</v>
      </c>
      <c r="D28" s="7">
        <v>32962.550000000003</v>
      </c>
      <c r="E28" s="7">
        <v>0</v>
      </c>
      <c r="F28" s="6">
        <v>0</v>
      </c>
      <c r="G28" s="6">
        <v>0</v>
      </c>
      <c r="H28" s="6">
        <f t="shared" si="4"/>
        <v>4944</v>
      </c>
      <c r="I28" s="6">
        <f t="shared" si="5"/>
        <v>28018.550000000003</v>
      </c>
    </row>
    <row r="29" spans="2:9" ht="15.75" x14ac:dyDescent="0.3">
      <c r="B29" s="9"/>
      <c r="C29" s="5"/>
      <c r="D29" s="7"/>
      <c r="E29" s="7"/>
      <c r="F29" s="7"/>
      <c r="G29" s="6"/>
      <c r="H29" s="6"/>
      <c r="I29" s="6"/>
    </row>
    <row r="30" spans="2:9" ht="15.75" x14ac:dyDescent="0.3">
      <c r="B30" s="4" t="s">
        <v>15</v>
      </c>
      <c r="C30" s="5"/>
      <c r="D30" s="7"/>
      <c r="E30" s="7"/>
      <c r="F30" s="7"/>
      <c r="G30" s="6"/>
      <c r="H30" s="6"/>
      <c r="I30" s="6"/>
    </row>
    <row r="31" spans="2:9" ht="15.75" x14ac:dyDescent="0.3">
      <c r="B31" s="8" t="s">
        <v>28</v>
      </c>
      <c r="C31" s="5">
        <v>0.4</v>
      </c>
      <c r="D31" s="7">
        <v>14900.6</v>
      </c>
      <c r="E31" s="7">
        <v>0</v>
      </c>
      <c r="F31" s="7">
        <v>0</v>
      </c>
      <c r="G31" s="6">
        <v>0</v>
      </c>
      <c r="H31" s="6">
        <f>ROUND((D31+E31+F31/2-G31)*C31,0)</f>
        <v>5960</v>
      </c>
      <c r="I31" s="6">
        <f>D31+E31+F31-G31-H31</f>
        <v>8940.6</v>
      </c>
    </row>
    <row r="32" spans="2:9" ht="15.75" x14ac:dyDescent="0.3">
      <c r="B32" s="8" t="s">
        <v>29</v>
      </c>
      <c r="C32" s="5">
        <v>0.4</v>
      </c>
      <c r="D32" s="7">
        <v>479</v>
      </c>
      <c r="E32" s="7">
        <v>0</v>
      </c>
      <c r="F32" s="7">
        <v>0</v>
      </c>
      <c r="G32" s="6">
        <v>0</v>
      </c>
      <c r="H32" s="6">
        <f>ROUND((D32+E32+F32/2-G32)*C32,0)</f>
        <v>192</v>
      </c>
      <c r="I32" s="6">
        <f>D32+E32+F32-G32-H32</f>
        <v>287</v>
      </c>
    </row>
    <row r="33" spans="1:11" ht="15.75" x14ac:dyDescent="0.3">
      <c r="B33" s="8" t="s">
        <v>30</v>
      </c>
      <c r="C33" s="5">
        <v>0.4</v>
      </c>
      <c r="D33" s="7">
        <v>143.19999999999999</v>
      </c>
      <c r="E33" s="7">
        <v>0</v>
      </c>
      <c r="F33" s="7">
        <v>0</v>
      </c>
      <c r="G33" s="6">
        <v>0</v>
      </c>
      <c r="H33" s="6">
        <f>ROUND((D33+E33+F33/2-G33)*C33,0)</f>
        <v>57</v>
      </c>
      <c r="I33" s="6">
        <f>D33+E33+F33-G33-H33</f>
        <v>86.199999999999989</v>
      </c>
    </row>
    <row r="34" spans="1:11" ht="15.75" x14ac:dyDescent="0.3">
      <c r="B34" s="10" t="s">
        <v>16</v>
      </c>
      <c r="C34" s="10"/>
      <c r="D34" s="11">
        <f t="shared" ref="D34:I34" si="6">SUM(D14:D33)</f>
        <v>3677001.4999999995</v>
      </c>
      <c r="E34" s="11">
        <f t="shared" si="6"/>
        <v>12542.37</v>
      </c>
      <c r="F34" s="11">
        <f t="shared" si="6"/>
        <v>34932.199999999997</v>
      </c>
      <c r="G34" s="11">
        <f t="shared" si="6"/>
        <v>232710.5</v>
      </c>
      <c r="H34" s="11">
        <f t="shared" si="6"/>
        <v>38453</v>
      </c>
      <c r="I34" s="11">
        <f t="shared" si="6"/>
        <v>3453312.57</v>
      </c>
    </row>
    <row r="36" spans="1:11" ht="15.75" x14ac:dyDescent="0.3">
      <c r="B36" s="12" t="s">
        <v>39</v>
      </c>
      <c r="K36" t="s">
        <v>89</v>
      </c>
    </row>
    <row r="37" spans="1:11" x14ac:dyDescent="0.25">
      <c r="A37" s="1"/>
    </row>
    <row r="38" spans="1:11" x14ac:dyDescent="0.25">
      <c r="A38" s="1">
        <v>3</v>
      </c>
      <c r="B38" s="1" t="s">
        <v>42</v>
      </c>
      <c r="C38" t="s">
        <v>43</v>
      </c>
      <c r="K38" t="s">
        <v>89</v>
      </c>
    </row>
    <row r="39" spans="1:11" x14ac:dyDescent="0.25">
      <c r="A39" s="1"/>
    </row>
    <row r="40" spans="1:11" x14ac:dyDescent="0.25">
      <c r="A40" s="1">
        <v>4</v>
      </c>
      <c r="B40" s="1" t="s">
        <v>44</v>
      </c>
      <c r="C40" t="s">
        <v>45</v>
      </c>
      <c r="F40" s="1"/>
      <c r="G40" s="1"/>
      <c r="H40" s="1"/>
      <c r="I40" s="1"/>
      <c r="J40" s="1"/>
      <c r="K40" t="s">
        <v>89</v>
      </c>
    </row>
    <row r="41" spans="1:11" x14ac:dyDescent="0.25">
      <c r="A41" s="1"/>
      <c r="C41" t="s">
        <v>46</v>
      </c>
      <c r="K41" s="13"/>
    </row>
    <row r="42" spans="1:11" x14ac:dyDescent="0.25">
      <c r="A42" s="1"/>
      <c r="B42" s="1"/>
      <c r="C42" t="s">
        <v>47</v>
      </c>
      <c r="K42" s="13"/>
    </row>
    <row r="43" spans="1:11" x14ac:dyDescent="0.25">
      <c r="A43" s="1"/>
      <c r="C43" t="s">
        <v>48</v>
      </c>
    </row>
    <row r="44" spans="1:11" s="1" customFormat="1" x14ac:dyDescent="0.25"/>
    <row r="45" spans="1:11" x14ac:dyDescent="0.25">
      <c r="A45" s="1">
        <v>5</v>
      </c>
      <c r="B45" s="1" t="s">
        <v>49</v>
      </c>
      <c r="C45" t="s">
        <v>50</v>
      </c>
      <c r="K45" t="s">
        <v>89</v>
      </c>
    </row>
    <row r="46" spans="1:11" x14ac:dyDescent="0.25">
      <c r="B46" s="1"/>
    </row>
    <row r="47" spans="1:11" x14ac:dyDescent="0.25">
      <c r="A47">
        <v>6</v>
      </c>
      <c r="B47" s="1" t="s">
        <v>51</v>
      </c>
      <c r="C47" s="1" t="s">
        <v>52</v>
      </c>
    </row>
    <row r="48" spans="1:11" x14ac:dyDescent="0.25">
      <c r="B48" s="1"/>
      <c r="C48" t="s">
        <v>53</v>
      </c>
      <c r="K48" t="s">
        <v>89</v>
      </c>
    </row>
    <row r="49" spans="1:11" x14ac:dyDescent="0.25">
      <c r="B49" s="1"/>
    </row>
    <row r="50" spans="1:11" x14ac:dyDescent="0.25">
      <c r="A50">
        <v>7</v>
      </c>
      <c r="B50" s="1" t="s">
        <v>58</v>
      </c>
      <c r="C50" s="1" t="s">
        <v>59</v>
      </c>
      <c r="K50" t="s">
        <v>90</v>
      </c>
    </row>
    <row r="51" spans="1:11" x14ac:dyDescent="0.25">
      <c r="B51" s="1"/>
      <c r="C51" t="s">
        <v>60</v>
      </c>
      <c r="D51">
        <v>3341</v>
      </c>
      <c r="G51" s="1"/>
    </row>
    <row r="52" spans="1:11" x14ac:dyDescent="0.25">
      <c r="C52" t="s">
        <v>61</v>
      </c>
      <c r="D52">
        <v>2772</v>
      </c>
    </row>
    <row r="53" spans="1:11" x14ac:dyDescent="0.25">
      <c r="A53" s="1"/>
      <c r="B53" s="1"/>
      <c r="C53" s="1" t="s">
        <v>62</v>
      </c>
      <c r="D53" s="1">
        <f>+D51-D52</f>
        <v>569</v>
      </c>
      <c r="E53" s="1"/>
      <c r="F53" s="1"/>
      <c r="G53" s="1"/>
    </row>
    <row r="54" spans="1:11" x14ac:dyDescent="0.25">
      <c r="A54" s="1"/>
      <c r="B54" s="1"/>
      <c r="C54" s="1"/>
      <c r="D54" s="1"/>
      <c r="E54" s="1"/>
      <c r="F54" s="1"/>
      <c r="G54" s="1"/>
    </row>
    <row r="55" spans="1:11" x14ac:dyDescent="0.25">
      <c r="A55">
        <v>8</v>
      </c>
      <c r="B55" s="1" t="s">
        <v>63</v>
      </c>
      <c r="C55" t="s">
        <v>64</v>
      </c>
      <c r="K55" t="s">
        <v>91</v>
      </c>
    </row>
    <row r="56" spans="1:11" x14ac:dyDescent="0.25">
      <c r="C56" s="1" t="s">
        <v>35</v>
      </c>
      <c r="D56" s="24" t="s">
        <v>32</v>
      </c>
      <c r="E56" s="17"/>
      <c r="F56" s="24" t="s">
        <v>33</v>
      </c>
      <c r="G56" s="24" t="s">
        <v>34</v>
      </c>
    </row>
    <row r="57" spans="1:11" x14ac:dyDescent="0.25">
      <c r="C57" t="s">
        <v>31</v>
      </c>
      <c r="D57">
        <v>52000</v>
      </c>
      <c r="E57">
        <f>D57*1%</f>
        <v>520</v>
      </c>
      <c r="F57">
        <v>520</v>
      </c>
      <c r="G57">
        <f>F57-E57</f>
        <v>0</v>
      </c>
    </row>
    <row r="58" spans="1:11" x14ac:dyDescent="0.25">
      <c r="C58" t="s">
        <v>36</v>
      </c>
      <c r="D58">
        <v>48000</v>
      </c>
      <c r="E58">
        <f>D58*1%</f>
        <v>480</v>
      </c>
      <c r="F58">
        <v>480</v>
      </c>
      <c r="G58">
        <f>F58-E58</f>
        <v>0</v>
      </c>
    </row>
    <row r="59" spans="1:11" x14ac:dyDescent="0.25">
      <c r="D59" t="s">
        <v>37</v>
      </c>
    </row>
    <row r="60" spans="1:11" x14ac:dyDescent="0.25">
      <c r="A60" s="1"/>
      <c r="C60" t="s">
        <v>38</v>
      </c>
      <c r="D60">
        <v>766000</v>
      </c>
      <c r="E60">
        <f>D60*10%</f>
        <v>76600</v>
      </c>
      <c r="F60">
        <v>76600</v>
      </c>
      <c r="G60">
        <f>F60-E60</f>
        <v>0</v>
      </c>
    </row>
    <row r="61" spans="1:11" x14ac:dyDescent="0.25">
      <c r="A61" s="1"/>
      <c r="B61" s="1"/>
    </row>
    <row r="62" spans="1:11" x14ac:dyDescent="0.25">
      <c r="A62">
        <v>9</v>
      </c>
      <c r="B62" s="1" t="s">
        <v>65</v>
      </c>
      <c r="C62" s="1" t="s">
        <v>66</v>
      </c>
      <c r="D62" s="1" t="s">
        <v>88</v>
      </c>
      <c r="K62" t="s">
        <v>96</v>
      </c>
    </row>
    <row r="63" spans="1:11" x14ac:dyDescent="0.25">
      <c r="C63" s="1" t="s">
        <v>67</v>
      </c>
      <c r="D63">
        <v>3338433.31</v>
      </c>
    </row>
    <row r="64" spans="1:11" x14ac:dyDescent="0.25">
      <c r="A64" s="1"/>
      <c r="B64" s="1"/>
      <c r="C64" s="1" t="s">
        <v>68</v>
      </c>
      <c r="D64" s="25">
        <v>3338479.02</v>
      </c>
    </row>
    <row r="65" spans="1:11" x14ac:dyDescent="0.25">
      <c r="C65" s="1" t="s">
        <v>57</v>
      </c>
      <c r="D65" s="26">
        <f>D64-D63</f>
        <v>45.709999999962747</v>
      </c>
    </row>
    <row r="66" spans="1:11" x14ac:dyDescent="0.25">
      <c r="B66" s="1"/>
      <c r="K66" t="s">
        <v>96</v>
      </c>
    </row>
    <row r="67" spans="1:11" x14ac:dyDescent="0.25">
      <c r="A67" s="1"/>
      <c r="B67" s="1" t="s">
        <v>95</v>
      </c>
      <c r="C67" s="1" t="s">
        <v>92</v>
      </c>
      <c r="D67" t="s">
        <v>93</v>
      </c>
      <c r="E67">
        <v>9666619.9499999993</v>
      </c>
    </row>
    <row r="68" spans="1:11" x14ac:dyDescent="0.25">
      <c r="B68" s="1" t="s">
        <v>94</v>
      </c>
      <c r="C68" s="1" t="s">
        <v>92</v>
      </c>
      <c r="D68" t="s">
        <v>93</v>
      </c>
      <c r="E68">
        <v>9666665.6600000001</v>
      </c>
    </row>
    <row r="69" spans="1:11" x14ac:dyDescent="0.25">
      <c r="A69" s="1"/>
      <c r="B69" s="1"/>
      <c r="E69" s="23">
        <f>E68-E67</f>
        <v>45.71000000089407</v>
      </c>
    </row>
    <row r="71" spans="1:11" x14ac:dyDescent="0.25">
      <c r="A71" s="1"/>
      <c r="B71" s="1"/>
      <c r="C71" s="1"/>
      <c r="D71" s="1"/>
      <c r="E71" s="1"/>
      <c r="F71" s="1"/>
      <c r="G71" s="1"/>
    </row>
    <row r="72" spans="1:11" x14ac:dyDescent="0.25">
      <c r="C72" s="1"/>
      <c r="D72" s="1"/>
      <c r="E72" s="1"/>
      <c r="F72" s="1"/>
      <c r="G72" s="1"/>
    </row>
    <row r="76" spans="1:11" x14ac:dyDescent="0.25">
      <c r="G76" s="1"/>
    </row>
    <row r="78" spans="1:11" x14ac:dyDescent="0.25">
      <c r="B78" s="1"/>
    </row>
    <row r="82" spans="2:2" x14ac:dyDescent="0.25">
      <c r="B82" s="1"/>
    </row>
    <row r="93" spans="2:2" x14ac:dyDescent="0.25">
      <c r="B93" s="1"/>
    </row>
    <row r="95" spans="2:2" x14ac:dyDescent="0.25">
      <c r="B95" s="1"/>
    </row>
  </sheetData>
  <mergeCells count="8">
    <mergeCell ref="H12:H13"/>
    <mergeCell ref="I12:I13"/>
    <mergeCell ref="B2:C2"/>
    <mergeCell ref="B12:B13"/>
    <mergeCell ref="C12:C13"/>
    <mergeCell ref="D12:D13"/>
    <mergeCell ref="E12:F12"/>
    <mergeCell ref="G12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EF29-D77B-4096-B51D-F6A93B2E2C29}">
  <dimension ref="B1:L17"/>
  <sheetViews>
    <sheetView workbookViewId="0">
      <selection activeCell="K19" sqref="K19"/>
    </sheetView>
  </sheetViews>
  <sheetFormatPr defaultColWidth="9.140625" defaultRowHeight="12.75" x14ac:dyDescent="0.2"/>
  <cols>
    <col min="1" max="1" width="9.140625" style="31"/>
    <col min="2" max="2" width="24" style="31" bestFit="1" customWidth="1"/>
    <col min="3" max="4" width="9.140625" style="31"/>
    <col min="5" max="5" width="10.28515625" style="31" bestFit="1" customWidth="1"/>
    <col min="6" max="6" width="21.85546875" style="31" customWidth="1"/>
    <col min="7" max="8" width="9.140625" style="31"/>
    <col min="9" max="9" width="10.28515625" style="31" bestFit="1" customWidth="1"/>
    <col min="10" max="10" width="3.85546875" style="31" customWidth="1"/>
    <col min="11" max="11" width="20.28515625" style="31" customWidth="1"/>
    <col min="12" max="257" width="9.140625" style="31"/>
    <col min="258" max="258" width="24" style="31" bestFit="1" customWidth="1"/>
    <col min="259" max="260" width="9.140625" style="31"/>
    <col min="261" max="261" width="10.28515625" style="31" bestFit="1" customWidth="1"/>
    <col min="262" max="262" width="21.85546875" style="31" customWidth="1"/>
    <col min="263" max="264" width="9.140625" style="31"/>
    <col min="265" max="265" width="10.28515625" style="31" bestFit="1" customWidth="1"/>
    <col min="266" max="266" width="3.85546875" style="31" customWidth="1"/>
    <col min="267" max="267" width="20.28515625" style="31" customWidth="1"/>
    <col min="268" max="513" width="9.140625" style="31"/>
    <col min="514" max="514" width="24" style="31" bestFit="1" customWidth="1"/>
    <col min="515" max="516" width="9.140625" style="31"/>
    <col min="517" max="517" width="10.28515625" style="31" bestFit="1" customWidth="1"/>
    <col min="518" max="518" width="21.85546875" style="31" customWidth="1"/>
    <col min="519" max="520" width="9.140625" style="31"/>
    <col min="521" max="521" width="10.28515625" style="31" bestFit="1" customWidth="1"/>
    <col min="522" max="522" width="3.85546875" style="31" customWidth="1"/>
    <col min="523" max="523" width="20.28515625" style="31" customWidth="1"/>
    <col min="524" max="769" width="9.140625" style="31"/>
    <col min="770" max="770" width="24" style="31" bestFit="1" customWidth="1"/>
    <col min="771" max="772" width="9.140625" style="31"/>
    <col min="773" max="773" width="10.28515625" style="31" bestFit="1" customWidth="1"/>
    <col min="774" max="774" width="21.85546875" style="31" customWidth="1"/>
    <col min="775" max="776" width="9.140625" style="31"/>
    <col min="777" max="777" width="10.28515625" style="31" bestFit="1" customWidth="1"/>
    <col min="778" max="778" width="3.85546875" style="31" customWidth="1"/>
    <col min="779" max="779" width="20.28515625" style="31" customWidth="1"/>
    <col min="780" max="1025" width="9.140625" style="31"/>
    <col min="1026" max="1026" width="24" style="31" bestFit="1" customWidth="1"/>
    <col min="1027" max="1028" width="9.140625" style="31"/>
    <col min="1029" max="1029" width="10.28515625" style="31" bestFit="1" customWidth="1"/>
    <col min="1030" max="1030" width="21.85546875" style="31" customWidth="1"/>
    <col min="1031" max="1032" width="9.140625" style="31"/>
    <col min="1033" max="1033" width="10.28515625" style="31" bestFit="1" customWidth="1"/>
    <col min="1034" max="1034" width="3.85546875" style="31" customWidth="1"/>
    <col min="1035" max="1035" width="20.28515625" style="31" customWidth="1"/>
    <col min="1036" max="1281" width="9.140625" style="31"/>
    <col min="1282" max="1282" width="24" style="31" bestFit="1" customWidth="1"/>
    <col min="1283" max="1284" width="9.140625" style="31"/>
    <col min="1285" max="1285" width="10.28515625" style="31" bestFit="1" customWidth="1"/>
    <col min="1286" max="1286" width="21.85546875" style="31" customWidth="1"/>
    <col min="1287" max="1288" width="9.140625" style="31"/>
    <col min="1289" max="1289" width="10.28515625" style="31" bestFit="1" customWidth="1"/>
    <col min="1290" max="1290" width="3.85546875" style="31" customWidth="1"/>
    <col min="1291" max="1291" width="20.28515625" style="31" customWidth="1"/>
    <col min="1292" max="1537" width="9.140625" style="31"/>
    <col min="1538" max="1538" width="24" style="31" bestFit="1" customWidth="1"/>
    <col min="1539" max="1540" width="9.140625" style="31"/>
    <col min="1541" max="1541" width="10.28515625" style="31" bestFit="1" customWidth="1"/>
    <col min="1542" max="1542" width="21.85546875" style="31" customWidth="1"/>
    <col min="1543" max="1544" width="9.140625" style="31"/>
    <col min="1545" max="1545" width="10.28515625" style="31" bestFit="1" customWidth="1"/>
    <col min="1546" max="1546" width="3.85546875" style="31" customWidth="1"/>
    <col min="1547" max="1547" width="20.28515625" style="31" customWidth="1"/>
    <col min="1548" max="1793" width="9.140625" style="31"/>
    <col min="1794" max="1794" width="24" style="31" bestFit="1" customWidth="1"/>
    <col min="1795" max="1796" width="9.140625" style="31"/>
    <col min="1797" max="1797" width="10.28515625" style="31" bestFit="1" customWidth="1"/>
    <col min="1798" max="1798" width="21.85546875" style="31" customWidth="1"/>
    <col min="1799" max="1800" width="9.140625" style="31"/>
    <col min="1801" max="1801" width="10.28515625" style="31" bestFit="1" customWidth="1"/>
    <col min="1802" max="1802" width="3.85546875" style="31" customWidth="1"/>
    <col min="1803" max="1803" width="20.28515625" style="31" customWidth="1"/>
    <col min="1804" max="2049" width="9.140625" style="31"/>
    <col min="2050" max="2050" width="24" style="31" bestFit="1" customWidth="1"/>
    <col min="2051" max="2052" width="9.140625" style="31"/>
    <col min="2053" max="2053" width="10.28515625" style="31" bestFit="1" customWidth="1"/>
    <col min="2054" max="2054" width="21.85546875" style="31" customWidth="1"/>
    <col min="2055" max="2056" width="9.140625" style="31"/>
    <col min="2057" max="2057" width="10.28515625" style="31" bestFit="1" customWidth="1"/>
    <col min="2058" max="2058" width="3.85546875" style="31" customWidth="1"/>
    <col min="2059" max="2059" width="20.28515625" style="31" customWidth="1"/>
    <col min="2060" max="2305" width="9.140625" style="31"/>
    <col min="2306" max="2306" width="24" style="31" bestFit="1" customWidth="1"/>
    <col min="2307" max="2308" width="9.140625" style="31"/>
    <col min="2309" max="2309" width="10.28515625" style="31" bestFit="1" customWidth="1"/>
    <col min="2310" max="2310" width="21.85546875" style="31" customWidth="1"/>
    <col min="2311" max="2312" width="9.140625" style="31"/>
    <col min="2313" max="2313" width="10.28515625" style="31" bestFit="1" customWidth="1"/>
    <col min="2314" max="2314" width="3.85546875" style="31" customWidth="1"/>
    <col min="2315" max="2315" width="20.28515625" style="31" customWidth="1"/>
    <col min="2316" max="2561" width="9.140625" style="31"/>
    <col min="2562" max="2562" width="24" style="31" bestFit="1" customWidth="1"/>
    <col min="2563" max="2564" width="9.140625" style="31"/>
    <col min="2565" max="2565" width="10.28515625" style="31" bestFit="1" customWidth="1"/>
    <col min="2566" max="2566" width="21.85546875" style="31" customWidth="1"/>
    <col min="2567" max="2568" width="9.140625" style="31"/>
    <col min="2569" max="2569" width="10.28515625" style="31" bestFit="1" customWidth="1"/>
    <col min="2570" max="2570" width="3.85546875" style="31" customWidth="1"/>
    <col min="2571" max="2571" width="20.28515625" style="31" customWidth="1"/>
    <col min="2572" max="2817" width="9.140625" style="31"/>
    <col min="2818" max="2818" width="24" style="31" bestFit="1" customWidth="1"/>
    <col min="2819" max="2820" width="9.140625" style="31"/>
    <col min="2821" max="2821" width="10.28515625" style="31" bestFit="1" customWidth="1"/>
    <col min="2822" max="2822" width="21.85546875" style="31" customWidth="1"/>
    <col min="2823" max="2824" width="9.140625" style="31"/>
    <col min="2825" max="2825" width="10.28515625" style="31" bestFit="1" customWidth="1"/>
    <col min="2826" max="2826" width="3.85546875" style="31" customWidth="1"/>
    <col min="2827" max="2827" width="20.28515625" style="31" customWidth="1"/>
    <col min="2828" max="3073" width="9.140625" style="31"/>
    <col min="3074" max="3074" width="24" style="31" bestFit="1" customWidth="1"/>
    <col min="3075" max="3076" width="9.140625" style="31"/>
    <col min="3077" max="3077" width="10.28515625" style="31" bestFit="1" customWidth="1"/>
    <col min="3078" max="3078" width="21.85546875" style="31" customWidth="1"/>
    <col min="3079" max="3080" width="9.140625" style="31"/>
    <col min="3081" max="3081" width="10.28515625" style="31" bestFit="1" customWidth="1"/>
    <col min="3082" max="3082" width="3.85546875" style="31" customWidth="1"/>
    <col min="3083" max="3083" width="20.28515625" style="31" customWidth="1"/>
    <col min="3084" max="3329" width="9.140625" style="31"/>
    <col min="3330" max="3330" width="24" style="31" bestFit="1" customWidth="1"/>
    <col min="3331" max="3332" width="9.140625" style="31"/>
    <col min="3333" max="3333" width="10.28515625" style="31" bestFit="1" customWidth="1"/>
    <col min="3334" max="3334" width="21.85546875" style="31" customWidth="1"/>
    <col min="3335" max="3336" width="9.140625" style="31"/>
    <col min="3337" max="3337" width="10.28515625" style="31" bestFit="1" customWidth="1"/>
    <col min="3338" max="3338" width="3.85546875" style="31" customWidth="1"/>
    <col min="3339" max="3339" width="20.28515625" style="31" customWidth="1"/>
    <col min="3340" max="3585" width="9.140625" style="31"/>
    <col min="3586" max="3586" width="24" style="31" bestFit="1" customWidth="1"/>
    <col min="3587" max="3588" width="9.140625" style="31"/>
    <col min="3589" max="3589" width="10.28515625" style="31" bestFit="1" customWidth="1"/>
    <col min="3590" max="3590" width="21.85546875" style="31" customWidth="1"/>
    <col min="3591" max="3592" width="9.140625" style="31"/>
    <col min="3593" max="3593" width="10.28515625" style="31" bestFit="1" customWidth="1"/>
    <col min="3594" max="3594" width="3.85546875" style="31" customWidth="1"/>
    <col min="3595" max="3595" width="20.28515625" style="31" customWidth="1"/>
    <col min="3596" max="3841" width="9.140625" style="31"/>
    <col min="3842" max="3842" width="24" style="31" bestFit="1" customWidth="1"/>
    <col min="3843" max="3844" width="9.140625" style="31"/>
    <col min="3845" max="3845" width="10.28515625" style="31" bestFit="1" customWidth="1"/>
    <col min="3846" max="3846" width="21.85546875" style="31" customWidth="1"/>
    <col min="3847" max="3848" width="9.140625" style="31"/>
    <col min="3849" max="3849" width="10.28515625" style="31" bestFit="1" customWidth="1"/>
    <col min="3850" max="3850" width="3.85546875" style="31" customWidth="1"/>
    <col min="3851" max="3851" width="20.28515625" style="31" customWidth="1"/>
    <col min="3852" max="4097" width="9.140625" style="31"/>
    <col min="4098" max="4098" width="24" style="31" bestFit="1" customWidth="1"/>
    <col min="4099" max="4100" width="9.140625" style="31"/>
    <col min="4101" max="4101" width="10.28515625" style="31" bestFit="1" customWidth="1"/>
    <col min="4102" max="4102" width="21.85546875" style="31" customWidth="1"/>
    <col min="4103" max="4104" width="9.140625" style="31"/>
    <col min="4105" max="4105" width="10.28515625" style="31" bestFit="1" customWidth="1"/>
    <col min="4106" max="4106" width="3.85546875" style="31" customWidth="1"/>
    <col min="4107" max="4107" width="20.28515625" style="31" customWidth="1"/>
    <col min="4108" max="4353" width="9.140625" style="31"/>
    <col min="4354" max="4354" width="24" style="31" bestFit="1" customWidth="1"/>
    <col min="4355" max="4356" width="9.140625" style="31"/>
    <col min="4357" max="4357" width="10.28515625" style="31" bestFit="1" customWidth="1"/>
    <col min="4358" max="4358" width="21.85546875" style="31" customWidth="1"/>
    <col min="4359" max="4360" width="9.140625" style="31"/>
    <col min="4361" max="4361" width="10.28515625" style="31" bestFit="1" customWidth="1"/>
    <col min="4362" max="4362" width="3.85546875" style="31" customWidth="1"/>
    <col min="4363" max="4363" width="20.28515625" style="31" customWidth="1"/>
    <col min="4364" max="4609" width="9.140625" style="31"/>
    <col min="4610" max="4610" width="24" style="31" bestFit="1" customWidth="1"/>
    <col min="4611" max="4612" width="9.140625" style="31"/>
    <col min="4613" max="4613" width="10.28515625" style="31" bestFit="1" customWidth="1"/>
    <col min="4614" max="4614" width="21.85546875" style="31" customWidth="1"/>
    <col min="4615" max="4616" width="9.140625" style="31"/>
    <col min="4617" max="4617" width="10.28515625" style="31" bestFit="1" customWidth="1"/>
    <col min="4618" max="4618" width="3.85546875" style="31" customWidth="1"/>
    <col min="4619" max="4619" width="20.28515625" style="31" customWidth="1"/>
    <col min="4620" max="4865" width="9.140625" style="31"/>
    <col min="4866" max="4866" width="24" style="31" bestFit="1" customWidth="1"/>
    <col min="4867" max="4868" width="9.140625" style="31"/>
    <col min="4869" max="4869" width="10.28515625" style="31" bestFit="1" customWidth="1"/>
    <col min="4870" max="4870" width="21.85546875" style="31" customWidth="1"/>
    <col min="4871" max="4872" width="9.140625" style="31"/>
    <col min="4873" max="4873" width="10.28515625" style="31" bestFit="1" customWidth="1"/>
    <col min="4874" max="4874" width="3.85546875" style="31" customWidth="1"/>
    <col min="4875" max="4875" width="20.28515625" style="31" customWidth="1"/>
    <col min="4876" max="5121" width="9.140625" style="31"/>
    <col min="5122" max="5122" width="24" style="31" bestFit="1" customWidth="1"/>
    <col min="5123" max="5124" width="9.140625" style="31"/>
    <col min="5125" max="5125" width="10.28515625" style="31" bestFit="1" customWidth="1"/>
    <col min="5126" max="5126" width="21.85546875" style="31" customWidth="1"/>
    <col min="5127" max="5128" width="9.140625" style="31"/>
    <col min="5129" max="5129" width="10.28515625" style="31" bestFit="1" customWidth="1"/>
    <col min="5130" max="5130" width="3.85546875" style="31" customWidth="1"/>
    <col min="5131" max="5131" width="20.28515625" style="31" customWidth="1"/>
    <col min="5132" max="5377" width="9.140625" style="31"/>
    <col min="5378" max="5378" width="24" style="31" bestFit="1" customWidth="1"/>
    <col min="5379" max="5380" width="9.140625" style="31"/>
    <col min="5381" max="5381" width="10.28515625" style="31" bestFit="1" customWidth="1"/>
    <col min="5382" max="5382" width="21.85546875" style="31" customWidth="1"/>
    <col min="5383" max="5384" width="9.140625" style="31"/>
    <col min="5385" max="5385" width="10.28515625" style="31" bestFit="1" customWidth="1"/>
    <col min="5386" max="5386" width="3.85546875" style="31" customWidth="1"/>
    <col min="5387" max="5387" width="20.28515625" style="31" customWidth="1"/>
    <col min="5388" max="5633" width="9.140625" style="31"/>
    <col min="5634" max="5634" width="24" style="31" bestFit="1" customWidth="1"/>
    <col min="5635" max="5636" width="9.140625" style="31"/>
    <col min="5637" max="5637" width="10.28515625" style="31" bestFit="1" customWidth="1"/>
    <col min="5638" max="5638" width="21.85546875" style="31" customWidth="1"/>
    <col min="5639" max="5640" width="9.140625" style="31"/>
    <col min="5641" max="5641" width="10.28515625" style="31" bestFit="1" customWidth="1"/>
    <col min="5642" max="5642" width="3.85546875" style="31" customWidth="1"/>
    <col min="5643" max="5643" width="20.28515625" style="31" customWidth="1"/>
    <col min="5644" max="5889" width="9.140625" style="31"/>
    <col min="5890" max="5890" width="24" style="31" bestFit="1" customWidth="1"/>
    <col min="5891" max="5892" width="9.140625" style="31"/>
    <col min="5893" max="5893" width="10.28515625" style="31" bestFit="1" customWidth="1"/>
    <col min="5894" max="5894" width="21.85546875" style="31" customWidth="1"/>
    <col min="5895" max="5896" width="9.140625" style="31"/>
    <col min="5897" max="5897" width="10.28515625" style="31" bestFit="1" customWidth="1"/>
    <col min="5898" max="5898" width="3.85546875" style="31" customWidth="1"/>
    <col min="5899" max="5899" width="20.28515625" style="31" customWidth="1"/>
    <col min="5900" max="6145" width="9.140625" style="31"/>
    <col min="6146" max="6146" width="24" style="31" bestFit="1" customWidth="1"/>
    <col min="6147" max="6148" width="9.140625" style="31"/>
    <col min="6149" max="6149" width="10.28515625" style="31" bestFit="1" customWidth="1"/>
    <col min="6150" max="6150" width="21.85546875" style="31" customWidth="1"/>
    <col min="6151" max="6152" width="9.140625" style="31"/>
    <col min="6153" max="6153" width="10.28515625" style="31" bestFit="1" customWidth="1"/>
    <col min="6154" max="6154" width="3.85546875" style="31" customWidth="1"/>
    <col min="6155" max="6155" width="20.28515625" style="31" customWidth="1"/>
    <col min="6156" max="6401" width="9.140625" style="31"/>
    <col min="6402" max="6402" width="24" style="31" bestFit="1" customWidth="1"/>
    <col min="6403" max="6404" width="9.140625" style="31"/>
    <col min="6405" max="6405" width="10.28515625" style="31" bestFit="1" customWidth="1"/>
    <col min="6406" max="6406" width="21.85546875" style="31" customWidth="1"/>
    <col min="6407" max="6408" width="9.140625" style="31"/>
    <col min="6409" max="6409" width="10.28515625" style="31" bestFit="1" customWidth="1"/>
    <col min="6410" max="6410" width="3.85546875" style="31" customWidth="1"/>
    <col min="6411" max="6411" width="20.28515625" style="31" customWidth="1"/>
    <col min="6412" max="6657" width="9.140625" style="31"/>
    <col min="6658" max="6658" width="24" style="31" bestFit="1" customWidth="1"/>
    <col min="6659" max="6660" width="9.140625" style="31"/>
    <col min="6661" max="6661" width="10.28515625" style="31" bestFit="1" customWidth="1"/>
    <col min="6662" max="6662" width="21.85546875" style="31" customWidth="1"/>
    <col min="6663" max="6664" width="9.140625" style="31"/>
    <col min="6665" max="6665" width="10.28515625" style="31" bestFit="1" customWidth="1"/>
    <col min="6666" max="6666" width="3.85546875" style="31" customWidth="1"/>
    <col min="6667" max="6667" width="20.28515625" style="31" customWidth="1"/>
    <col min="6668" max="6913" width="9.140625" style="31"/>
    <col min="6914" max="6914" width="24" style="31" bestFit="1" customWidth="1"/>
    <col min="6915" max="6916" width="9.140625" style="31"/>
    <col min="6917" max="6917" width="10.28515625" style="31" bestFit="1" customWidth="1"/>
    <col min="6918" max="6918" width="21.85546875" style="31" customWidth="1"/>
    <col min="6919" max="6920" width="9.140625" style="31"/>
    <col min="6921" max="6921" width="10.28515625" style="31" bestFit="1" customWidth="1"/>
    <col min="6922" max="6922" width="3.85546875" style="31" customWidth="1"/>
    <col min="6923" max="6923" width="20.28515625" style="31" customWidth="1"/>
    <col min="6924" max="7169" width="9.140625" style="31"/>
    <col min="7170" max="7170" width="24" style="31" bestFit="1" customWidth="1"/>
    <col min="7171" max="7172" width="9.140625" style="31"/>
    <col min="7173" max="7173" width="10.28515625" style="31" bestFit="1" customWidth="1"/>
    <col min="7174" max="7174" width="21.85546875" style="31" customWidth="1"/>
    <col min="7175" max="7176" width="9.140625" style="31"/>
    <col min="7177" max="7177" width="10.28515625" style="31" bestFit="1" customWidth="1"/>
    <col min="7178" max="7178" width="3.85546875" style="31" customWidth="1"/>
    <col min="7179" max="7179" width="20.28515625" style="31" customWidth="1"/>
    <col min="7180" max="7425" width="9.140625" style="31"/>
    <col min="7426" max="7426" width="24" style="31" bestFit="1" customWidth="1"/>
    <col min="7427" max="7428" width="9.140625" style="31"/>
    <col min="7429" max="7429" width="10.28515625" style="31" bestFit="1" customWidth="1"/>
    <col min="7430" max="7430" width="21.85546875" style="31" customWidth="1"/>
    <col min="7431" max="7432" width="9.140625" style="31"/>
    <col min="7433" max="7433" width="10.28515625" style="31" bestFit="1" customWidth="1"/>
    <col min="7434" max="7434" width="3.85546875" style="31" customWidth="1"/>
    <col min="7435" max="7435" width="20.28515625" style="31" customWidth="1"/>
    <col min="7436" max="7681" width="9.140625" style="31"/>
    <col min="7682" max="7682" width="24" style="31" bestFit="1" customWidth="1"/>
    <col min="7683" max="7684" width="9.140625" style="31"/>
    <col min="7685" max="7685" width="10.28515625" style="31" bestFit="1" customWidth="1"/>
    <col min="7686" max="7686" width="21.85546875" style="31" customWidth="1"/>
    <col min="7687" max="7688" width="9.140625" style="31"/>
    <col min="7689" max="7689" width="10.28515625" style="31" bestFit="1" customWidth="1"/>
    <col min="7690" max="7690" width="3.85546875" style="31" customWidth="1"/>
    <col min="7691" max="7691" width="20.28515625" style="31" customWidth="1"/>
    <col min="7692" max="7937" width="9.140625" style="31"/>
    <col min="7938" max="7938" width="24" style="31" bestFit="1" customWidth="1"/>
    <col min="7939" max="7940" width="9.140625" style="31"/>
    <col min="7941" max="7941" width="10.28515625" style="31" bestFit="1" customWidth="1"/>
    <col min="7942" max="7942" width="21.85546875" style="31" customWidth="1"/>
    <col min="7943" max="7944" width="9.140625" style="31"/>
    <col min="7945" max="7945" width="10.28515625" style="31" bestFit="1" customWidth="1"/>
    <col min="7946" max="7946" width="3.85546875" style="31" customWidth="1"/>
    <col min="7947" max="7947" width="20.28515625" style="31" customWidth="1"/>
    <col min="7948" max="8193" width="9.140625" style="31"/>
    <col min="8194" max="8194" width="24" style="31" bestFit="1" customWidth="1"/>
    <col min="8195" max="8196" width="9.140625" style="31"/>
    <col min="8197" max="8197" width="10.28515625" style="31" bestFit="1" customWidth="1"/>
    <col min="8198" max="8198" width="21.85546875" style="31" customWidth="1"/>
    <col min="8199" max="8200" width="9.140625" style="31"/>
    <col min="8201" max="8201" width="10.28515625" style="31" bestFit="1" customWidth="1"/>
    <col min="8202" max="8202" width="3.85546875" style="31" customWidth="1"/>
    <col min="8203" max="8203" width="20.28515625" style="31" customWidth="1"/>
    <col min="8204" max="8449" width="9.140625" style="31"/>
    <col min="8450" max="8450" width="24" style="31" bestFit="1" customWidth="1"/>
    <col min="8451" max="8452" width="9.140625" style="31"/>
    <col min="8453" max="8453" width="10.28515625" style="31" bestFit="1" customWidth="1"/>
    <col min="8454" max="8454" width="21.85546875" style="31" customWidth="1"/>
    <col min="8455" max="8456" width="9.140625" style="31"/>
    <col min="8457" max="8457" width="10.28515625" style="31" bestFit="1" customWidth="1"/>
    <col min="8458" max="8458" width="3.85546875" style="31" customWidth="1"/>
    <col min="8459" max="8459" width="20.28515625" style="31" customWidth="1"/>
    <col min="8460" max="8705" width="9.140625" style="31"/>
    <col min="8706" max="8706" width="24" style="31" bestFit="1" customWidth="1"/>
    <col min="8707" max="8708" width="9.140625" style="31"/>
    <col min="8709" max="8709" width="10.28515625" style="31" bestFit="1" customWidth="1"/>
    <col min="8710" max="8710" width="21.85546875" style="31" customWidth="1"/>
    <col min="8711" max="8712" width="9.140625" style="31"/>
    <col min="8713" max="8713" width="10.28515625" style="31" bestFit="1" customWidth="1"/>
    <col min="8714" max="8714" width="3.85546875" style="31" customWidth="1"/>
    <col min="8715" max="8715" width="20.28515625" style="31" customWidth="1"/>
    <col min="8716" max="8961" width="9.140625" style="31"/>
    <col min="8962" max="8962" width="24" style="31" bestFit="1" customWidth="1"/>
    <col min="8963" max="8964" width="9.140625" style="31"/>
    <col min="8965" max="8965" width="10.28515625" style="31" bestFit="1" customWidth="1"/>
    <col min="8966" max="8966" width="21.85546875" style="31" customWidth="1"/>
    <col min="8967" max="8968" width="9.140625" style="31"/>
    <col min="8969" max="8969" width="10.28515625" style="31" bestFit="1" customWidth="1"/>
    <col min="8970" max="8970" width="3.85546875" style="31" customWidth="1"/>
    <col min="8971" max="8971" width="20.28515625" style="31" customWidth="1"/>
    <col min="8972" max="9217" width="9.140625" style="31"/>
    <col min="9218" max="9218" width="24" style="31" bestFit="1" customWidth="1"/>
    <col min="9219" max="9220" width="9.140625" style="31"/>
    <col min="9221" max="9221" width="10.28515625" style="31" bestFit="1" customWidth="1"/>
    <col min="9222" max="9222" width="21.85546875" style="31" customWidth="1"/>
    <col min="9223" max="9224" width="9.140625" style="31"/>
    <col min="9225" max="9225" width="10.28515625" style="31" bestFit="1" customWidth="1"/>
    <col min="9226" max="9226" width="3.85546875" style="31" customWidth="1"/>
    <col min="9227" max="9227" width="20.28515625" style="31" customWidth="1"/>
    <col min="9228" max="9473" width="9.140625" style="31"/>
    <col min="9474" max="9474" width="24" style="31" bestFit="1" customWidth="1"/>
    <col min="9475" max="9476" width="9.140625" style="31"/>
    <col min="9477" max="9477" width="10.28515625" style="31" bestFit="1" customWidth="1"/>
    <col min="9478" max="9478" width="21.85546875" style="31" customWidth="1"/>
    <col min="9479" max="9480" width="9.140625" style="31"/>
    <col min="9481" max="9481" width="10.28515625" style="31" bestFit="1" customWidth="1"/>
    <col min="9482" max="9482" width="3.85546875" style="31" customWidth="1"/>
    <col min="9483" max="9483" width="20.28515625" style="31" customWidth="1"/>
    <col min="9484" max="9729" width="9.140625" style="31"/>
    <col min="9730" max="9730" width="24" style="31" bestFit="1" customWidth="1"/>
    <col min="9731" max="9732" width="9.140625" style="31"/>
    <col min="9733" max="9733" width="10.28515625" style="31" bestFit="1" customWidth="1"/>
    <col min="9734" max="9734" width="21.85546875" style="31" customWidth="1"/>
    <col min="9735" max="9736" width="9.140625" style="31"/>
    <col min="9737" max="9737" width="10.28515625" style="31" bestFit="1" customWidth="1"/>
    <col min="9738" max="9738" width="3.85546875" style="31" customWidth="1"/>
    <col min="9739" max="9739" width="20.28515625" style="31" customWidth="1"/>
    <col min="9740" max="9985" width="9.140625" style="31"/>
    <col min="9986" max="9986" width="24" style="31" bestFit="1" customWidth="1"/>
    <col min="9987" max="9988" width="9.140625" style="31"/>
    <col min="9989" max="9989" width="10.28515625" style="31" bestFit="1" customWidth="1"/>
    <col min="9990" max="9990" width="21.85546875" style="31" customWidth="1"/>
    <col min="9991" max="9992" width="9.140625" style="31"/>
    <col min="9993" max="9993" width="10.28515625" style="31" bestFit="1" customWidth="1"/>
    <col min="9994" max="9994" width="3.85546875" style="31" customWidth="1"/>
    <col min="9995" max="9995" width="20.28515625" style="31" customWidth="1"/>
    <col min="9996" max="10241" width="9.140625" style="31"/>
    <col min="10242" max="10242" width="24" style="31" bestFit="1" customWidth="1"/>
    <col min="10243" max="10244" width="9.140625" style="31"/>
    <col min="10245" max="10245" width="10.28515625" style="31" bestFit="1" customWidth="1"/>
    <col min="10246" max="10246" width="21.85546875" style="31" customWidth="1"/>
    <col min="10247" max="10248" width="9.140625" style="31"/>
    <col min="10249" max="10249" width="10.28515625" style="31" bestFit="1" customWidth="1"/>
    <col min="10250" max="10250" width="3.85546875" style="31" customWidth="1"/>
    <col min="10251" max="10251" width="20.28515625" style="31" customWidth="1"/>
    <col min="10252" max="10497" width="9.140625" style="31"/>
    <col min="10498" max="10498" width="24" style="31" bestFit="1" customWidth="1"/>
    <col min="10499" max="10500" width="9.140625" style="31"/>
    <col min="10501" max="10501" width="10.28515625" style="31" bestFit="1" customWidth="1"/>
    <col min="10502" max="10502" width="21.85546875" style="31" customWidth="1"/>
    <col min="10503" max="10504" width="9.140625" style="31"/>
    <col min="10505" max="10505" width="10.28515625" style="31" bestFit="1" customWidth="1"/>
    <col min="10506" max="10506" width="3.85546875" style="31" customWidth="1"/>
    <col min="10507" max="10507" width="20.28515625" style="31" customWidth="1"/>
    <col min="10508" max="10753" width="9.140625" style="31"/>
    <col min="10754" max="10754" width="24" style="31" bestFit="1" customWidth="1"/>
    <col min="10755" max="10756" width="9.140625" style="31"/>
    <col min="10757" max="10757" width="10.28515625" style="31" bestFit="1" customWidth="1"/>
    <col min="10758" max="10758" width="21.85546875" style="31" customWidth="1"/>
    <col min="10759" max="10760" width="9.140625" style="31"/>
    <col min="10761" max="10761" width="10.28515625" style="31" bestFit="1" customWidth="1"/>
    <col min="10762" max="10762" width="3.85546875" style="31" customWidth="1"/>
    <col min="10763" max="10763" width="20.28515625" style="31" customWidth="1"/>
    <col min="10764" max="11009" width="9.140625" style="31"/>
    <col min="11010" max="11010" width="24" style="31" bestFit="1" customWidth="1"/>
    <col min="11011" max="11012" width="9.140625" style="31"/>
    <col min="11013" max="11013" width="10.28515625" style="31" bestFit="1" customWidth="1"/>
    <col min="11014" max="11014" width="21.85546875" style="31" customWidth="1"/>
    <col min="11015" max="11016" width="9.140625" style="31"/>
    <col min="11017" max="11017" width="10.28515625" style="31" bestFit="1" customWidth="1"/>
    <col min="11018" max="11018" width="3.85546875" style="31" customWidth="1"/>
    <col min="11019" max="11019" width="20.28515625" style="31" customWidth="1"/>
    <col min="11020" max="11265" width="9.140625" style="31"/>
    <col min="11266" max="11266" width="24" style="31" bestFit="1" customWidth="1"/>
    <col min="11267" max="11268" width="9.140625" style="31"/>
    <col min="11269" max="11269" width="10.28515625" style="31" bestFit="1" customWidth="1"/>
    <col min="11270" max="11270" width="21.85546875" style="31" customWidth="1"/>
    <col min="11271" max="11272" width="9.140625" style="31"/>
    <col min="11273" max="11273" width="10.28515625" style="31" bestFit="1" customWidth="1"/>
    <col min="11274" max="11274" width="3.85546875" style="31" customWidth="1"/>
    <col min="11275" max="11275" width="20.28515625" style="31" customWidth="1"/>
    <col min="11276" max="11521" width="9.140625" style="31"/>
    <col min="11522" max="11522" width="24" style="31" bestFit="1" customWidth="1"/>
    <col min="11523" max="11524" width="9.140625" style="31"/>
    <col min="11525" max="11525" width="10.28515625" style="31" bestFit="1" customWidth="1"/>
    <col min="11526" max="11526" width="21.85546875" style="31" customWidth="1"/>
    <col min="11527" max="11528" width="9.140625" style="31"/>
    <col min="11529" max="11529" width="10.28515625" style="31" bestFit="1" customWidth="1"/>
    <col min="11530" max="11530" width="3.85546875" style="31" customWidth="1"/>
    <col min="11531" max="11531" width="20.28515625" style="31" customWidth="1"/>
    <col min="11532" max="11777" width="9.140625" style="31"/>
    <col min="11778" max="11778" width="24" style="31" bestFit="1" customWidth="1"/>
    <col min="11779" max="11780" width="9.140625" style="31"/>
    <col min="11781" max="11781" width="10.28515625" style="31" bestFit="1" customWidth="1"/>
    <col min="11782" max="11782" width="21.85546875" style="31" customWidth="1"/>
    <col min="11783" max="11784" width="9.140625" style="31"/>
    <col min="11785" max="11785" width="10.28515625" style="31" bestFit="1" customWidth="1"/>
    <col min="11786" max="11786" width="3.85546875" style="31" customWidth="1"/>
    <col min="11787" max="11787" width="20.28515625" style="31" customWidth="1"/>
    <col min="11788" max="12033" width="9.140625" style="31"/>
    <col min="12034" max="12034" width="24" style="31" bestFit="1" customWidth="1"/>
    <col min="12035" max="12036" width="9.140625" style="31"/>
    <col min="12037" max="12037" width="10.28515625" style="31" bestFit="1" customWidth="1"/>
    <col min="12038" max="12038" width="21.85546875" style="31" customWidth="1"/>
    <col min="12039" max="12040" width="9.140625" style="31"/>
    <col min="12041" max="12041" width="10.28515625" style="31" bestFit="1" customWidth="1"/>
    <col min="12042" max="12042" width="3.85546875" style="31" customWidth="1"/>
    <col min="12043" max="12043" width="20.28515625" style="31" customWidth="1"/>
    <col min="12044" max="12289" width="9.140625" style="31"/>
    <col min="12290" max="12290" width="24" style="31" bestFit="1" customWidth="1"/>
    <col min="12291" max="12292" width="9.140625" style="31"/>
    <col min="12293" max="12293" width="10.28515625" style="31" bestFit="1" customWidth="1"/>
    <col min="12294" max="12294" width="21.85546875" style="31" customWidth="1"/>
    <col min="12295" max="12296" width="9.140625" style="31"/>
    <col min="12297" max="12297" width="10.28515625" style="31" bestFit="1" customWidth="1"/>
    <col min="12298" max="12298" width="3.85546875" style="31" customWidth="1"/>
    <col min="12299" max="12299" width="20.28515625" style="31" customWidth="1"/>
    <col min="12300" max="12545" width="9.140625" style="31"/>
    <col min="12546" max="12546" width="24" style="31" bestFit="1" customWidth="1"/>
    <col min="12547" max="12548" width="9.140625" style="31"/>
    <col min="12549" max="12549" width="10.28515625" style="31" bestFit="1" customWidth="1"/>
    <col min="12550" max="12550" width="21.85546875" style="31" customWidth="1"/>
    <col min="12551" max="12552" width="9.140625" style="31"/>
    <col min="12553" max="12553" width="10.28515625" style="31" bestFit="1" customWidth="1"/>
    <col min="12554" max="12554" width="3.85546875" style="31" customWidth="1"/>
    <col min="12555" max="12555" width="20.28515625" style="31" customWidth="1"/>
    <col min="12556" max="12801" width="9.140625" style="31"/>
    <col min="12802" max="12802" width="24" style="31" bestFit="1" customWidth="1"/>
    <col min="12803" max="12804" width="9.140625" style="31"/>
    <col min="12805" max="12805" width="10.28515625" style="31" bestFit="1" customWidth="1"/>
    <col min="12806" max="12806" width="21.85546875" style="31" customWidth="1"/>
    <col min="12807" max="12808" width="9.140625" style="31"/>
    <col min="12809" max="12809" width="10.28515625" style="31" bestFit="1" customWidth="1"/>
    <col min="12810" max="12810" width="3.85546875" style="31" customWidth="1"/>
    <col min="12811" max="12811" width="20.28515625" style="31" customWidth="1"/>
    <col min="12812" max="13057" width="9.140625" style="31"/>
    <col min="13058" max="13058" width="24" style="31" bestFit="1" customWidth="1"/>
    <col min="13059" max="13060" width="9.140625" style="31"/>
    <col min="13061" max="13061" width="10.28515625" style="31" bestFit="1" customWidth="1"/>
    <col min="13062" max="13062" width="21.85546875" style="31" customWidth="1"/>
    <col min="13063" max="13064" width="9.140625" style="31"/>
    <col min="13065" max="13065" width="10.28515625" style="31" bestFit="1" customWidth="1"/>
    <col min="13066" max="13066" width="3.85546875" style="31" customWidth="1"/>
    <col min="13067" max="13067" width="20.28515625" style="31" customWidth="1"/>
    <col min="13068" max="13313" width="9.140625" style="31"/>
    <col min="13314" max="13314" width="24" style="31" bestFit="1" customWidth="1"/>
    <col min="13315" max="13316" width="9.140625" style="31"/>
    <col min="13317" max="13317" width="10.28515625" style="31" bestFit="1" customWidth="1"/>
    <col min="13318" max="13318" width="21.85546875" style="31" customWidth="1"/>
    <col min="13319" max="13320" width="9.140625" style="31"/>
    <col min="13321" max="13321" width="10.28515625" style="31" bestFit="1" customWidth="1"/>
    <col min="13322" max="13322" width="3.85546875" style="31" customWidth="1"/>
    <col min="13323" max="13323" width="20.28515625" style="31" customWidth="1"/>
    <col min="13324" max="13569" width="9.140625" style="31"/>
    <col min="13570" max="13570" width="24" style="31" bestFit="1" customWidth="1"/>
    <col min="13571" max="13572" width="9.140625" style="31"/>
    <col min="13573" max="13573" width="10.28515625" style="31" bestFit="1" customWidth="1"/>
    <col min="13574" max="13574" width="21.85546875" style="31" customWidth="1"/>
    <col min="13575" max="13576" width="9.140625" style="31"/>
    <col min="13577" max="13577" width="10.28515625" style="31" bestFit="1" customWidth="1"/>
    <col min="13578" max="13578" width="3.85546875" style="31" customWidth="1"/>
    <col min="13579" max="13579" width="20.28515625" style="31" customWidth="1"/>
    <col min="13580" max="13825" width="9.140625" style="31"/>
    <col min="13826" max="13826" width="24" style="31" bestFit="1" customWidth="1"/>
    <col min="13827" max="13828" width="9.140625" style="31"/>
    <col min="13829" max="13829" width="10.28515625" style="31" bestFit="1" customWidth="1"/>
    <col min="13830" max="13830" width="21.85546875" style="31" customWidth="1"/>
    <col min="13831" max="13832" width="9.140625" style="31"/>
    <col min="13833" max="13833" width="10.28515625" style="31" bestFit="1" customWidth="1"/>
    <col min="13834" max="13834" width="3.85546875" style="31" customWidth="1"/>
    <col min="13835" max="13835" width="20.28515625" style="31" customWidth="1"/>
    <col min="13836" max="14081" width="9.140625" style="31"/>
    <col min="14082" max="14082" width="24" style="31" bestFit="1" customWidth="1"/>
    <col min="14083" max="14084" width="9.140625" style="31"/>
    <col min="14085" max="14085" width="10.28515625" style="31" bestFit="1" customWidth="1"/>
    <col min="14086" max="14086" width="21.85546875" style="31" customWidth="1"/>
    <col min="14087" max="14088" width="9.140625" style="31"/>
    <col min="14089" max="14089" width="10.28515625" style="31" bestFit="1" customWidth="1"/>
    <col min="14090" max="14090" width="3.85546875" style="31" customWidth="1"/>
    <col min="14091" max="14091" width="20.28515625" style="31" customWidth="1"/>
    <col min="14092" max="14337" width="9.140625" style="31"/>
    <col min="14338" max="14338" width="24" style="31" bestFit="1" customWidth="1"/>
    <col min="14339" max="14340" width="9.140625" style="31"/>
    <col min="14341" max="14341" width="10.28515625" style="31" bestFit="1" customWidth="1"/>
    <col min="14342" max="14342" width="21.85546875" style="31" customWidth="1"/>
    <col min="14343" max="14344" width="9.140625" style="31"/>
    <col min="14345" max="14345" width="10.28515625" style="31" bestFit="1" customWidth="1"/>
    <col min="14346" max="14346" width="3.85546875" style="31" customWidth="1"/>
    <col min="14347" max="14347" width="20.28515625" style="31" customWidth="1"/>
    <col min="14348" max="14593" width="9.140625" style="31"/>
    <col min="14594" max="14594" width="24" style="31" bestFit="1" customWidth="1"/>
    <col min="14595" max="14596" width="9.140625" style="31"/>
    <col min="14597" max="14597" width="10.28515625" style="31" bestFit="1" customWidth="1"/>
    <col min="14598" max="14598" width="21.85546875" style="31" customWidth="1"/>
    <col min="14599" max="14600" width="9.140625" style="31"/>
    <col min="14601" max="14601" width="10.28515625" style="31" bestFit="1" customWidth="1"/>
    <col min="14602" max="14602" width="3.85546875" style="31" customWidth="1"/>
    <col min="14603" max="14603" width="20.28515625" style="31" customWidth="1"/>
    <col min="14604" max="14849" width="9.140625" style="31"/>
    <col min="14850" max="14850" width="24" style="31" bestFit="1" customWidth="1"/>
    <col min="14851" max="14852" width="9.140625" style="31"/>
    <col min="14853" max="14853" width="10.28515625" style="31" bestFit="1" customWidth="1"/>
    <col min="14854" max="14854" width="21.85546875" style="31" customWidth="1"/>
    <col min="14855" max="14856" width="9.140625" style="31"/>
    <col min="14857" max="14857" width="10.28515625" style="31" bestFit="1" customWidth="1"/>
    <col min="14858" max="14858" width="3.85546875" style="31" customWidth="1"/>
    <col min="14859" max="14859" width="20.28515625" style="31" customWidth="1"/>
    <col min="14860" max="15105" width="9.140625" style="31"/>
    <col min="15106" max="15106" width="24" style="31" bestFit="1" customWidth="1"/>
    <col min="15107" max="15108" width="9.140625" style="31"/>
    <col min="15109" max="15109" width="10.28515625" style="31" bestFit="1" customWidth="1"/>
    <col min="15110" max="15110" width="21.85546875" style="31" customWidth="1"/>
    <col min="15111" max="15112" width="9.140625" style="31"/>
    <col min="15113" max="15113" width="10.28515625" style="31" bestFit="1" customWidth="1"/>
    <col min="15114" max="15114" width="3.85546875" style="31" customWidth="1"/>
    <col min="15115" max="15115" width="20.28515625" style="31" customWidth="1"/>
    <col min="15116" max="15361" width="9.140625" style="31"/>
    <col min="15362" max="15362" width="24" style="31" bestFit="1" customWidth="1"/>
    <col min="15363" max="15364" width="9.140625" style="31"/>
    <col min="15365" max="15365" width="10.28515625" style="31" bestFit="1" customWidth="1"/>
    <col min="15366" max="15366" width="21.85546875" style="31" customWidth="1"/>
    <col min="15367" max="15368" width="9.140625" style="31"/>
    <col min="15369" max="15369" width="10.28515625" style="31" bestFit="1" customWidth="1"/>
    <col min="15370" max="15370" width="3.85546875" style="31" customWidth="1"/>
    <col min="15371" max="15371" width="20.28515625" style="31" customWidth="1"/>
    <col min="15372" max="15617" width="9.140625" style="31"/>
    <col min="15618" max="15618" width="24" style="31" bestFit="1" customWidth="1"/>
    <col min="15619" max="15620" width="9.140625" style="31"/>
    <col min="15621" max="15621" width="10.28515625" style="31" bestFit="1" customWidth="1"/>
    <col min="15622" max="15622" width="21.85546875" style="31" customWidth="1"/>
    <col min="15623" max="15624" width="9.140625" style="31"/>
    <col min="15625" max="15625" width="10.28515625" style="31" bestFit="1" customWidth="1"/>
    <col min="15626" max="15626" width="3.85546875" style="31" customWidth="1"/>
    <col min="15627" max="15627" width="20.28515625" style="31" customWidth="1"/>
    <col min="15628" max="15873" width="9.140625" style="31"/>
    <col min="15874" max="15874" width="24" style="31" bestFit="1" customWidth="1"/>
    <col min="15875" max="15876" width="9.140625" style="31"/>
    <col min="15877" max="15877" width="10.28515625" style="31" bestFit="1" customWidth="1"/>
    <col min="15878" max="15878" width="21.85546875" style="31" customWidth="1"/>
    <col min="15879" max="15880" width="9.140625" style="31"/>
    <col min="15881" max="15881" width="10.28515625" style="31" bestFit="1" customWidth="1"/>
    <col min="15882" max="15882" width="3.85546875" style="31" customWidth="1"/>
    <col min="15883" max="15883" width="20.28515625" style="31" customWidth="1"/>
    <col min="15884" max="16129" width="9.140625" style="31"/>
    <col min="16130" max="16130" width="24" style="31" bestFit="1" customWidth="1"/>
    <col min="16131" max="16132" width="9.140625" style="31"/>
    <col min="16133" max="16133" width="10.28515625" style="31" bestFit="1" customWidth="1"/>
    <col min="16134" max="16134" width="21.85546875" style="31" customWidth="1"/>
    <col min="16135" max="16136" width="9.140625" style="31"/>
    <col min="16137" max="16137" width="10.28515625" style="31" bestFit="1" customWidth="1"/>
    <col min="16138" max="16138" width="3.85546875" style="31" customWidth="1"/>
    <col min="16139" max="16139" width="20.28515625" style="31" customWidth="1"/>
    <col min="16140" max="16384" width="9.140625" style="31"/>
  </cols>
  <sheetData>
    <row r="1" spans="2:12" ht="13.5" thickBot="1" x14ac:dyDescent="0.25">
      <c r="B1" s="27" t="s">
        <v>69</v>
      </c>
      <c r="C1" s="28" t="s">
        <v>70</v>
      </c>
      <c r="D1" s="28" t="s">
        <v>71</v>
      </c>
      <c r="E1" s="29" t="s">
        <v>57</v>
      </c>
      <c r="F1" s="28" t="s">
        <v>72</v>
      </c>
      <c r="G1" s="28" t="s">
        <v>70</v>
      </c>
      <c r="H1" s="28" t="s">
        <v>71</v>
      </c>
      <c r="I1" s="30" t="s">
        <v>57</v>
      </c>
    </row>
    <row r="2" spans="2:12" x14ac:dyDescent="0.2">
      <c r="B2" s="32" t="s">
        <v>73</v>
      </c>
      <c r="C2" s="33">
        <v>6860142.75</v>
      </c>
      <c r="D2" s="33">
        <v>6860143.1399999997</v>
      </c>
      <c r="E2" s="33">
        <f>C2-D2</f>
        <v>-0.38999999966472387</v>
      </c>
      <c r="F2" s="33" t="s">
        <v>14</v>
      </c>
      <c r="G2" s="33">
        <v>43951.78</v>
      </c>
      <c r="H2" s="33">
        <v>43951.3</v>
      </c>
      <c r="I2" s="34">
        <f t="shared" ref="I2:I16" si="0">G2-H2</f>
        <v>0.47999999999592546</v>
      </c>
    </row>
    <row r="3" spans="2:12" x14ac:dyDescent="0.2">
      <c r="B3" s="35"/>
      <c r="C3" s="36"/>
      <c r="D3" s="36"/>
      <c r="E3" s="37"/>
      <c r="F3" s="37" t="s">
        <v>74</v>
      </c>
      <c r="G3" s="37">
        <v>5344.17</v>
      </c>
      <c r="H3" s="37">
        <v>5343.97</v>
      </c>
      <c r="I3" s="34">
        <f t="shared" si="0"/>
        <v>0.1999999999998181</v>
      </c>
    </row>
    <row r="4" spans="2:12" x14ac:dyDescent="0.2">
      <c r="B4" s="37"/>
      <c r="C4" s="36"/>
      <c r="D4" s="37"/>
      <c r="E4" s="37">
        <f t="shared" ref="E4:E16" si="1">C4-D4</f>
        <v>0</v>
      </c>
      <c r="F4" s="37" t="s">
        <v>75</v>
      </c>
      <c r="G4" s="37">
        <v>12899.26</v>
      </c>
      <c r="H4" s="37">
        <v>12899.51</v>
      </c>
      <c r="I4" s="38">
        <f t="shared" si="0"/>
        <v>-0.25</v>
      </c>
    </row>
    <row r="5" spans="2:12" x14ac:dyDescent="0.2">
      <c r="B5" s="39"/>
      <c r="C5" s="36"/>
      <c r="D5" s="37"/>
      <c r="E5" s="37">
        <f t="shared" si="1"/>
        <v>0</v>
      </c>
      <c r="F5" s="37" t="s">
        <v>76</v>
      </c>
      <c r="G5" s="37">
        <v>8955.36</v>
      </c>
      <c r="H5" s="37">
        <v>8955.4</v>
      </c>
      <c r="I5" s="38">
        <f t="shared" si="0"/>
        <v>-3.9999999999054126E-2</v>
      </c>
    </row>
    <row r="6" spans="2:12" x14ac:dyDescent="0.2">
      <c r="B6" s="39"/>
      <c r="C6" s="37"/>
      <c r="D6" s="37"/>
      <c r="E6" s="37">
        <f t="shared" si="1"/>
        <v>0</v>
      </c>
      <c r="F6" s="37" t="s">
        <v>77</v>
      </c>
      <c r="G6" s="37">
        <v>14900.16</v>
      </c>
      <c r="H6" s="37">
        <v>14900.6</v>
      </c>
      <c r="I6" s="38">
        <f t="shared" si="0"/>
        <v>-0.44000000000050932</v>
      </c>
    </row>
    <row r="7" spans="2:12" x14ac:dyDescent="0.2">
      <c r="B7" s="35"/>
      <c r="C7" s="36"/>
      <c r="D7" s="37"/>
      <c r="E7" s="37">
        <f t="shared" si="1"/>
        <v>0</v>
      </c>
      <c r="F7" s="37" t="s">
        <v>78</v>
      </c>
      <c r="G7" s="37">
        <v>478.8</v>
      </c>
      <c r="H7" s="37">
        <v>479</v>
      </c>
      <c r="I7" s="38">
        <f t="shared" si="0"/>
        <v>-0.19999999999998863</v>
      </c>
    </row>
    <row r="8" spans="2:12" x14ac:dyDescent="0.2">
      <c r="B8" s="35"/>
      <c r="C8" s="37"/>
      <c r="D8" s="37"/>
      <c r="E8" s="37">
        <f t="shared" si="1"/>
        <v>0</v>
      </c>
      <c r="F8" s="37" t="s">
        <v>22</v>
      </c>
      <c r="G8" s="37">
        <v>168944.78</v>
      </c>
      <c r="H8" s="37">
        <v>168944.42</v>
      </c>
      <c r="I8" s="38">
        <f t="shared" si="0"/>
        <v>0.35999999998603016</v>
      </c>
      <c r="K8" s="40" t="s">
        <v>79</v>
      </c>
    </row>
    <row r="9" spans="2:12" x14ac:dyDescent="0.2">
      <c r="B9" s="35"/>
      <c r="C9" s="37"/>
      <c r="D9" s="37"/>
      <c r="E9" s="37">
        <f t="shared" si="1"/>
        <v>0</v>
      </c>
      <c r="F9" s="37" t="s">
        <v>80</v>
      </c>
      <c r="G9" s="37">
        <v>1247020</v>
      </c>
      <c r="H9" s="37">
        <v>1247020</v>
      </c>
      <c r="I9" s="38">
        <f t="shared" si="0"/>
        <v>0</v>
      </c>
    </row>
    <row r="10" spans="2:12" x14ac:dyDescent="0.2">
      <c r="B10" s="35"/>
      <c r="C10" s="37"/>
      <c r="D10" s="37"/>
      <c r="E10" s="37">
        <f t="shared" si="1"/>
        <v>0</v>
      </c>
      <c r="F10" s="37" t="s">
        <v>81</v>
      </c>
      <c r="G10" s="37">
        <v>1931.24</v>
      </c>
      <c r="H10" s="37">
        <v>1931.05</v>
      </c>
      <c r="I10" s="38">
        <f t="shared" si="0"/>
        <v>0.19000000000005457</v>
      </c>
    </row>
    <row r="11" spans="2:12" ht="13.5" thickBot="1" x14ac:dyDescent="0.25">
      <c r="B11" s="35"/>
      <c r="C11" s="37"/>
      <c r="D11" s="37"/>
      <c r="E11" s="37">
        <f t="shared" si="1"/>
        <v>0</v>
      </c>
      <c r="F11" s="37" t="s">
        <v>82</v>
      </c>
      <c r="G11" s="37">
        <v>142.91999999999999</v>
      </c>
      <c r="H11" s="37">
        <v>143.19999999999999</v>
      </c>
      <c r="I11" s="38">
        <f t="shared" si="0"/>
        <v>-0.28000000000000114</v>
      </c>
      <c r="K11" s="59" t="s">
        <v>83</v>
      </c>
      <c r="L11" s="59"/>
    </row>
    <row r="12" spans="2:12" ht="13.5" thickBot="1" x14ac:dyDescent="0.25">
      <c r="B12" s="35"/>
      <c r="C12" s="37"/>
      <c r="D12" s="37"/>
      <c r="E12" s="37">
        <f t="shared" si="1"/>
        <v>0</v>
      </c>
      <c r="F12" s="37" t="s">
        <v>84</v>
      </c>
      <c r="G12" s="37">
        <v>1906760</v>
      </c>
      <c r="H12" s="37">
        <v>1906760</v>
      </c>
      <c r="I12" s="38">
        <f t="shared" si="0"/>
        <v>0</v>
      </c>
      <c r="K12" s="41">
        <f>E17-I17</f>
        <v>3.6376945899974089E-10</v>
      </c>
    </row>
    <row r="13" spans="2:12" x14ac:dyDescent="0.2">
      <c r="B13" s="35"/>
      <c r="C13" s="37"/>
      <c r="D13" s="37"/>
      <c r="E13" s="37">
        <f t="shared" si="1"/>
        <v>0</v>
      </c>
      <c r="F13" s="37" t="s">
        <v>85</v>
      </c>
      <c r="G13" s="37">
        <v>232710.02</v>
      </c>
      <c r="H13" s="37">
        <v>232710.5</v>
      </c>
      <c r="I13" s="38">
        <f t="shared" si="0"/>
        <v>-0.48000000001047738</v>
      </c>
    </row>
    <row r="14" spans="2:12" x14ac:dyDescent="0.2">
      <c r="B14" s="35"/>
      <c r="C14" s="37"/>
      <c r="D14" s="37"/>
      <c r="E14" s="37">
        <f t="shared" si="1"/>
        <v>0</v>
      </c>
      <c r="F14" s="37" t="s">
        <v>86</v>
      </c>
      <c r="G14" s="37">
        <v>32962.620000000003</v>
      </c>
      <c r="H14" s="37">
        <v>32962.550000000003</v>
      </c>
      <c r="I14" s="38">
        <f t="shared" si="0"/>
        <v>6.9999999999708962E-2</v>
      </c>
    </row>
    <row r="15" spans="2:12" x14ac:dyDescent="0.2">
      <c r="B15" s="35"/>
      <c r="C15" s="37"/>
      <c r="D15" s="37"/>
      <c r="E15" s="37">
        <f t="shared" si="1"/>
        <v>0</v>
      </c>
      <c r="F15" s="37"/>
      <c r="G15" s="37"/>
      <c r="H15" s="37"/>
      <c r="I15" s="38">
        <f t="shared" si="0"/>
        <v>0</v>
      </c>
    </row>
    <row r="16" spans="2:12" x14ac:dyDescent="0.2">
      <c r="B16" s="35"/>
      <c r="C16" s="37"/>
      <c r="D16" s="37"/>
      <c r="E16" s="37">
        <f t="shared" si="1"/>
        <v>0</v>
      </c>
      <c r="F16" s="37"/>
      <c r="G16" s="37"/>
      <c r="H16" s="37"/>
      <c r="I16" s="38">
        <f t="shared" si="0"/>
        <v>0</v>
      </c>
    </row>
    <row r="17" spans="2:9" ht="13.5" thickBot="1" x14ac:dyDescent="0.25">
      <c r="B17" s="42"/>
      <c r="C17" s="43"/>
      <c r="D17" s="44" t="s">
        <v>87</v>
      </c>
      <c r="E17" s="45">
        <f>SUM(E2:E16)</f>
        <v>-0.38999999966472387</v>
      </c>
      <c r="F17" s="46"/>
      <c r="G17" s="43"/>
      <c r="H17" s="44" t="s">
        <v>87</v>
      </c>
      <c r="I17" s="47">
        <f>SUM(I2:I16)</f>
        <v>-0.39000000002849333</v>
      </c>
    </row>
  </sheetData>
  <mergeCells count="1">
    <mergeCell ref="K11:L11"/>
  </mergeCells>
  <pageMargins left="0.75" right="0.75" top="1" bottom="1" header="0.5" footer="0.5"/>
  <pageSetup paperSize="9" orientation="portrait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Scrutiny Query</vt:lpstr>
      <vt:lpstr>Op.Bal. diff.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Audit8</dc:creator>
  <cp:lastModifiedBy>Audit || ArvindKumar Maniar &amp; Co ||</cp:lastModifiedBy>
  <dcterms:created xsi:type="dcterms:W3CDTF">2015-06-05T18:17:20Z</dcterms:created>
  <dcterms:modified xsi:type="dcterms:W3CDTF">2026-09-15T10:48:03Z</dcterms:modified>
</cp:coreProperties>
</file>